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937DD895-4C6C-48A5-9757-59506C0E84A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ead Me" sheetId="2" r:id="rId1"/>
    <sheet name="Personal Statistic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G79" i="1"/>
  <c r="J79" i="1"/>
  <c r="O2" i="1"/>
  <c r="F7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I79" i="1"/>
  <c r="H79" i="1"/>
</calcChain>
</file>

<file path=xl/sharedStrings.xml><?xml version="1.0" encoding="utf-8"?>
<sst xmlns="http://schemas.openxmlformats.org/spreadsheetml/2006/main" count="183" uniqueCount="114">
  <si>
    <t>R6 PERFORMANCE ENGINE ANALYTICS</t>
  </si>
  <si>
    <t>PROJECT OVERVIEW</t>
  </si>
  <si>
    <t>TECHNICAL METHODOLOGY</t>
  </si>
  <si>
    <t>OBJECTIVE</t>
  </si>
  <si>
    <t>DATA PIPLINE</t>
  </si>
  <si>
    <t>To create a centralized analytics engine that standardizes raw R6 performance into actionable insights</t>
  </si>
  <si>
    <t>• R6 Tracker data (Y8S1–Y11S1).
• Includes Quick Match, Dual Front, Ranked/Unranked; excludes Events and Arcade Playlists.</t>
  </si>
  <si>
    <t>CORE FOCUS:</t>
  </si>
  <si>
    <t>DATA CLEANING</t>
  </si>
  <si>
    <t>•Data Integity: Eliminating reporting bias by filtering outliers with &lt;50 rounds played.</t>
  </si>
  <si>
    <t>• Automated outlier removal (&lt;50 rounds).
• KPI normalization for statistical significance.</t>
  </si>
  <si>
    <t>•Trend Analysis: Correlating individual operator efficiency with match-based outcome metrics.</t>
  </si>
  <si>
    <t>•Core Metrics: Tracking Efficiency Ratios, Precision Ratings and Outcome Success Rates, prioritizing individual output to neutralize the "noise" cause by inconsistent team variables.</t>
  </si>
  <si>
    <t>Operator</t>
  </si>
  <si>
    <t>Column1</t>
  </si>
  <si>
    <t>Loadout</t>
  </si>
  <si>
    <t>Rounds Played</t>
  </si>
  <si>
    <t>Win %</t>
  </si>
  <si>
    <t>K/D</t>
  </si>
  <si>
    <t>HS%</t>
  </si>
  <si>
    <t>Wins</t>
  </si>
  <si>
    <t>Losses</t>
  </si>
  <si>
    <t>Kills</t>
  </si>
  <si>
    <t>Deaths</t>
  </si>
  <si>
    <t>Assists</t>
  </si>
  <si>
    <t>Aces</t>
  </si>
  <si>
    <t>TKs</t>
  </si>
  <si>
    <t>Aim</t>
  </si>
  <si>
    <t>Overall</t>
  </si>
  <si>
    <t>Ace</t>
  </si>
  <si>
    <t>AR</t>
  </si>
  <si>
    <t>Alibi</t>
  </si>
  <si>
    <t>SMG</t>
  </si>
  <si>
    <t>Amaru</t>
  </si>
  <si>
    <t>Hybrid</t>
  </si>
  <si>
    <t>Aruni</t>
  </si>
  <si>
    <t>DMR</t>
  </si>
  <si>
    <t>Ash</t>
  </si>
  <si>
    <t>Azami</t>
  </si>
  <si>
    <t>Bandit</t>
  </si>
  <si>
    <t>Blackbeard</t>
  </si>
  <si>
    <t>Blitz</t>
  </si>
  <si>
    <t>Pistol</t>
  </si>
  <si>
    <t>Brava</t>
  </si>
  <si>
    <t>Buck</t>
  </si>
  <si>
    <t>Capitao</t>
  </si>
  <si>
    <t>Castle</t>
  </si>
  <si>
    <t>Caviera</t>
  </si>
  <si>
    <t>Clash</t>
  </si>
  <si>
    <t>MP</t>
  </si>
  <si>
    <t>Deimos</t>
  </si>
  <si>
    <t>Denari</t>
  </si>
  <si>
    <t>Doc</t>
  </si>
  <si>
    <t>Dokkaebi</t>
  </si>
  <si>
    <t>Echo</t>
  </si>
  <si>
    <t>Ela</t>
  </si>
  <si>
    <t>Fenrir</t>
  </si>
  <si>
    <t>Finka</t>
  </si>
  <si>
    <t>Flores</t>
  </si>
  <si>
    <t>Frost</t>
  </si>
  <si>
    <t>Fuze</t>
  </si>
  <si>
    <t>Glaz</t>
  </si>
  <si>
    <t>Goyo</t>
  </si>
  <si>
    <t>Gridlock</t>
  </si>
  <si>
    <t>Grim</t>
  </si>
  <si>
    <t>Hibana</t>
  </si>
  <si>
    <t>SG</t>
  </si>
  <si>
    <t>Iana</t>
  </si>
  <si>
    <t>IQ</t>
  </si>
  <si>
    <t>Jackal</t>
  </si>
  <si>
    <t>Jäger</t>
  </si>
  <si>
    <t>Kaid</t>
  </si>
  <si>
    <t>Kali</t>
  </si>
  <si>
    <t>Kapkan</t>
  </si>
  <si>
    <t>Lesion</t>
  </si>
  <si>
    <t>Lion</t>
  </si>
  <si>
    <t>Maestro</t>
  </si>
  <si>
    <t>LMG</t>
  </si>
  <si>
    <t>Maverick</t>
  </si>
  <si>
    <t>Melusi</t>
  </si>
  <si>
    <t>Mira</t>
  </si>
  <si>
    <t>Montagne</t>
  </si>
  <si>
    <t>Mozzie</t>
  </si>
  <si>
    <t>Mute</t>
  </si>
  <si>
    <t>Nøkk</t>
  </si>
  <si>
    <t>Nomad</t>
  </si>
  <si>
    <t>Oryx</t>
  </si>
  <si>
    <t>Osa</t>
  </si>
  <si>
    <t>Pulse</t>
  </si>
  <si>
    <t>Ram</t>
  </si>
  <si>
    <t>Raura</t>
  </si>
  <si>
    <t>Rook</t>
  </si>
  <si>
    <t>Sens</t>
  </si>
  <si>
    <t>Sentry</t>
  </si>
  <si>
    <t>Skopós</t>
  </si>
  <si>
    <t>Sledge</t>
  </si>
  <si>
    <t>Smoke</t>
  </si>
  <si>
    <t>Solid Snake</t>
  </si>
  <si>
    <t>Solis</t>
  </si>
  <si>
    <t>Striker</t>
  </si>
  <si>
    <t>Tachanka</t>
  </si>
  <si>
    <t>Thatcher</t>
  </si>
  <si>
    <t>Thermite</t>
  </si>
  <si>
    <t>Thorn</t>
  </si>
  <si>
    <t>Thunderbird</t>
  </si>
  <si>
    <t>Tubarão</t>
  </si>
  <si>
    <t>Twitch</t>
  </si>
  <si>
    <t>Valkyrie</t>
  </si>
  <si>
    <t>Vigil</t>
  </si>
  <si>
    <t>Wamai</t>
  </si>
  <si>
    <t>Warden</t>
  </si>
  <si>
    <t>Ying</t>
  </si>
  <si>
    <t>Zero</t>
  </si>
  <si>
    <t>Zofia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</si>
</sst>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Segoe UI"/>
    </font>
    <font>
      <b/>
      <sz val="16"/>
      <color theme="0"/>
      <name val="Segoe UI"/>
    </font>
    <font>
      <b/>
      <sz val="11"/>
      <color theme="0"/>
      <name val="Segoe UI"/>
    </font>
    <font>
      <b/>
      <sz val="12"/>
      <color theme="0"/>
      <name val="Segoe UI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1F2024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797B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2" xfId="0" applyFont="1" applyFill="1" applyBorder="1"/>
    <xf numFmtId="0" fontId="0" fillId="0" borderId="2" xfId="0" applyBorder="1"/>
    <xf numFmtId="0" fontId="1" fillId="3" borderId="2" xfId="0" applyFont="1" applyFill="1" applyBorder="1"/>
    <xf numFmtId="0" fontId="0" fillId="3" borderId="2" xfId="0" applyFill="1" applyBorder="1"/>
    <xf numFmtId="0" fontId="1" fillId="4" borderId="3" xfId="0" applyFont="1" applyFill="1" applyBorder="1"/>
    <xf numFmtId="0" fontId="0" fillId="4" borderId="3" xfId="0" applyFill="1" applyBorder="1"/>
    <xf numFmtId="0" fontId="0" fillId="5" borderId="1" xfId="0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5" borderId="3" xfId="0" applyFont="1" applyFill="1" applyBorder="1"/>
    <xf numFmtId="0" fontId="1" fillId="5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5" borderId="3" xfId="0" applyFont="1" applyFill="1" applyBorder="1" applyAlignment="1">
      <alignment wrapText="1"/>
    </xf>
    <xf numFmtId="0" fontId="1" fillId="4" borderId="9" xfId="0" applyFont="1" applyFill="1" applyBorder="1"/>
    <xf numFmtId="0" fontId="1" fillId="4" borderId="10" xfId="0" applyFont="1" applyFill="1" applyBorder="1"/>
    <xf numFmtId="0" fontId="1" fillId="4" borderId="2" xfId="0" applyFont="1" applyFill="1" applyBorder="1"/>
    <xf numFmtId="0" fontId="1" fillId="4" borderId="11" xfId="0" applyFont="1" applyFill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1" xfId="0" applyNumberFormat="1" applyFont="1" applyFill="1" applyBorder="1"/>
    <xf numFmtId="0" fontId="1" fillId="3" borderId="2" xfId="0" applyNumberFormat="1" applyFont="1" applyFill="1" applyBorder="1" applyAlignment="1">
      <alignment wrapText="1"/>
    </xf>
    <xf numFmtId="0" fontId="1" fillId="6" borderId="0" xfId="0" applyFont="1" applyFill="1"/>
    <xf numFmtId="0" fontId="1" fillId="7" borderId="0" xfId="0" applyFont="1" applyFill="1" applyBorder="1"/>
    <xf numFmtId="0" fontId="1" fillId="6" borderId="0" xfId="0" applyFont="1" applyFill="1" applyBorder="1"/>
    <xf numFmtId="0" fontId="1" fillId="7" borderId="19" xfId="0" applyFont="1" applyFill="1" applyBorder="1"/>
    <xf numFmtId="0" fontId="1" fillId="7" borderId="20" xfId="0" applyFont="1" applyFill="1" applyBorder="1"/>
    <xf numFmtId="0" fontId="1" fillId="7" borderId="21" xfId="0" applyFont="1" applyFill="1" applyBorder="1"/>
    <xf numFmtId="0" fontId="1" fillId="7" borderId="22" xfId="0" applyFont="1" applyFill="1" applyBorder="1"/>
    <xf numFmtId="0" fontId="1" fillId="7" borderId="23" xfId="0" applyFont="1" applyFill="1" applyBorder="1"/>
    <xf numFmtId="0" fontId="1" fillId="4" borderId="9" xfId="0" applyFont="1" applyFill="1" applyBorder="1" applyAlignment="1">
      <alignment wrapText="1"/>
    </xf>
    <xf numFmtId="10" fontId="1" fillId="4" borderId="7" xfId="0" applyNumberFormat="1" applyFont="1" applyFill="1" applyBorder="1"/>
    <xf numFmtId="10" fontId="1" fillId="4" borderId="3" xfId="0" applyNumberFormat="1" applyFont="1" applyFill="1" applyBorder="1"/>
    <xf numFmtId="10" fontId="1" fillId="4" borderId="2" xfId="0" applyNumberFormat="1" applyFont="1" applyFill="1" applyBorder="1"/>
    <xf numFmtId="10" fontId="1" fillId="4" borderId="11" xfId="0" applyNumberFormat="1" applyFont="1" applyFill="1" applyBorder="1"/>
    <xf numFmtId="0" fontId="1" fillId="4" borderId="11" xfId="0" applyFont="1" applyFill="1" applyBorder="1" applyAlignment="1">
      <alignment wrapText="1"/>
    </xf>
    <xf numFmtId="10" fontId="1" fillId="4" borderId="7" xfId="0" applyNumberFormat="1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12" xfId="0" applyFont="1" applyFill="1" applyBorder="1" applyAlignment="1">
      <alignment wrapText="1"/>
    </xf>
    <xf numFmtId="0" fontId="1" fillId="4" borderId="3" xfId="0" applyNumberFormat="1" applyFont="1" applyFill="1" applyBorder="1"/>
    <xf numFmtId="0" fontId="1" fillId="4" borderId="7" xfId="0" applyNumberFormat="1" applyFont="1" applyFill="1" applyBorder="1"/>
    <xf numFmtId="0" fontId="1" fillId="4" borderId="2" xfId="0" applyNumberFormat="1" applyFont="1" applyFill="1" applyBorder="1"/>
    <xf numFmtId="0" fontId="2" fillId="7" borderId="19" xfId="0" applyFont="1" applyFill="1" applyBorder="1" applyAlignment="1">
      <alignment horizontal="left" vertical="center" wrapText="1"/>
    </xf>
    <xf numFmtId="0" fontId="2" fillId="7" borderId="0" xfId="0" applyFont="1" applyFill="1" applyBorder="1" applyAlignment="1">
      <alignment horizontal="left" vertical="center" wrapText="1"/>
    </xf>
    <xf numFmtId="0" fontId="2" fillId="7" borderId="20" xfId="0" applyFont="1" applyFill="1" applyBorder="1" applyAlignment="1">
      <alignment horizontal="left" vertical="center" wrapText="1"/>
    </xf>
    <xf numFmtId="0" fontId="4" fillId="7" borderId="16" xfId="0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left" vertical="center" wrapText="1"/>
    </xf>
    <xf numFmtId="0" fontId="1" fillId="7" borderId="0" xfId="0" applyFont="1" applyFill="1" applyBorder="1" applyAlignment="1">
      <alignment horizontal="left" vertical="center" wrapText="1"/>
    </xf>
    <xf numFmtId="0" fontId="1" fillId="7" borderId="20" xfId="0" applyFont="1" applyFill="1" applyBorder="1" applyAlignment="1">
      <alignment horizontal="left" vertical="center" wrapText="1"/>
    </xf>
    <xf numFmtId="0" fontId="1" fillId="7" borderId="19" xfId="0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0" fontId="1" fillId="7" borderId="20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wrapText="1"/>
    </xf>
    <xf numFmtId="0" fontId="6" fillId="7" borderId="0" xfId="0" applyFont="1" applyFill="1" applyBorder="1" applyAlignment="1">
      <alignment horizontal="center" wrapText="1"/>
    </xf>
    <xf numFmtId="0" fontId="6" fillId="7" borderId="20" xfId="0" applyFont="1" applyFill="1" applyBorder="1" applyAlignment="1">
      <alignment horizontal="center" wrapText="1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rgb="FF55555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indexed="64"/>
          <bgColor rgb="FF55555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/>
        <right style="thin">
          <color theme="0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/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/>
        <right style="thin">
          <color theme="0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/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  <border diagonalUp="0" diagonalDown="0" outline="0">
        <left/>
        <right style="thin">
          <color theme="0"/>
        </right>
        <top/>
        <bottom/>
      </border>
    </dxf>
    <dxf>
      <border outline="0">
        <bottom style="thin">
          <color theme="1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55555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97B8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theme="0"/>
      </font>
      <fill>
        <patternFill patternType="solid">
          <bgColor rgb="FF595959"/>
        </patternFill>
      </fill>
    </dxf>
  </dxfs>
  <tableStyles count="0" defaultTableStyle="TableStyleMedium2" defaultPivotStyle="PivotStyleMedium9"/>
  <colors>
    <mruColors>
      <color rgb="FF797B80"/>
      <color rgb="FF3E4045"/>
      <color rgb="FF4D4D57"/>
      <color rgb="FF232323"/>
      <color rgb="FF555555"/>
      <color rgb="FF3A3D42"/>
      <color rgb="FF2A2A2A"/>
      <color rgb="FF24262A"/>
      <color rgb="FF50535A"/>
      <color rgb="FF2D2F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00B730-C833-46AB-BFA4-E4C849AC55CB}" name="Table4" displayName="Table4" ref="A1:P79" totalsRowCount="1" headerRowDxfId="35" dataDxfId="34" headerRowBorderDxfId="32" tableBorderDxfId="33">
  <autoFilter ref="A1:P78" xr:uid="{0F00B730-C833-46AB-BFA4-E4C849AC55CB}"/>
  <sortState xmlns:xlrd2="http://schemas.microsoft.com/office/spreadsheetml/2017/richdata2" ref="A2:P78">
    <sortCondition ref="A1:A78"/>
  </sortState>
  <tableColumns count="16">
    <tableColumn id="1" xr3:uid="{897750A8-CD1D-4A60-B7DB-4C134E0224D1}" name="Operator" dataDxfId="30" totalsRowDxfId="31"/>
    <tableColumn id="13" xr3:uid="{BB9700FD-564D-422E-9E66-9CFA89D9A003}" name="Column1" dataDxfId="28" totalsRowDxfId="29"/>
    <tableColumn id="16" xr3:uid="{5198FD0A-170A-44B0-B134-BFE74DA85F78}" name="Loadout" dataDxfId="26" totalsRowDxfId="27"/>
    <tableColumn id="2" xr3:uid="{A3F14C1E-71E7-4021-A7A6-B8DAEA6F8E9C}" name="Rounds Played" dataDxfId="24" totalsRowDxfId="25"/>
    <tableColumn id="3" xr3:uid="{534E19AA-2D6E-4AA4-9FB0-143DCBA18F66}" name="Win %" totalsRowFunction="custom" dataDxfId="22" totalsRowDxfId="23">
      <totalsRowFormula>AVERAGE(E2:E78)</totalsRowFormula>
    </tableColumn>
    <tableColumn id="14" xr3:uid="{B797FBEF-5765-4C67-84EF-DA7146EDD623}" name="K/D" totalsRowFunction="custom" dataDxfId="20" totalsRowDxfId="21">
      <totalsRowFormula>AVERAGE(Table4[K/D]) / 0.75</totalsRowFormula>
    </tableColumn>
    <tableColumn id="4" xr3:uid="{D005B79B-7026-406E-AA9C-0ADDF7810256}" name="HS%" totalsRowFunction="custom" dataDxfId="18" totalsRowDxfId="19">
      <totalsRowFormula>AVERAGE(G2:G78)</totalsRowFormula>
    </tableColumn>
    <tableColumn id="5" xr3:uid="{F9005812-556E-488E-AAC4-25387CF3E4A6}" name="Wins" totalsRowFunction="custom" dataDxfId="16" totalsRowDxfId="17">
      <totalsRowFormula>SUM(Table4[Wins]) / (SUM(Table4[Wins]) + SUM(Table4[Losses]))</totalsRowFormula>
    </tableColumn>
    <tableColumn id="6" xr3:uid="{6B46B58A-2DE3-4A5E-97FD-608B3EB6B9B9}" name="Losses" totalsRowFunction="custom" dataDxfId="14" totalsRowDxfId="15">
      <totalsRowFormula>SUM(Table4[Losses]) / (SUM(Table4[Wins]) + SUM(Table4[Losses]))</totalsRowFormula>
    </tableColumn>
    <tableColumn id="7" xr3:uid="{9AD273F3-596F-4D19-802B-D9483F965A68}" name="Kills" totalsRowFunction="custom" dataDxfId="12" totalsRowDxfId="13">
      <totalsRowFormula>SUM(J2:J78) / (SUM(K2:K78) * 0.75)</totalsRowFormula>
    </tableColumn>
    <tableColumn id="8" xr3:uid="{66C80979-9D00-4967-854E-BF255C207648}" name="Deaths" dataDxfId="10" totalsRowDxfId="11"/>
    <tableColumn id="9" xr3:uid="{4381AB51-FFE2-4E10-82AF-93EC8A8FB6D5}" name="Assists" dataDxfId="8" totalsRowDxfId="9"/>
    <tableColumn id="10" xr3:uid="{508A9044-AB1F-439B-90B1-9A586105D6CD}" name="Aces" dataDxfId="6" totalsRowDxfId="7"/>
    <tableColumn id="11" xr3:uid="{DA3032DC-924B-4BE9-A8BB-61747DE7B6BF}" name="TKs" dataDxfId="4" totalsRowDxfId="5"/>
    <tableColumn id="12" xr3:uid="{F768C977-E016-4F4C-BB5D-927C3777019D}" name="Aim" dataDxfId="2" totalsRowDxfId="3">
      <calculatedColumnFormula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calculatedColumnFormula>
    </tableColumn>
    <tableColumn id="15" xr3:uid="{8CA19715-395A-480F-8EB5-543AAC00C946}" name="Overall" dataDxfId="0" totalsRowDxfId="1">
      <calculatedColumnFormula>IF(Table4[[#This Row],[Rounds Played]]&lt;50, "In Progress",
 IF(OR(AND(Table4[[#This Row],[HS%]]&lt;0.35, Table4[[#This Row],[K/D]]&lt;0.7), Table4[[#This Row],[Win %]]&lt;0.45), "Needs Work", "Good"))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28B-19A9-4CAC-B0A5-D5A64E0088BC}">
  <dimension ref="A1:J12"/>
  <sheetViews>
    <sheetView showGridLines="0" topLeftCell="A5" workbookViewId="0">
      <selection activeCell="F6" sqref="F6:I6"/>
    </sheetView>
  </sheetViews>
  <sheetFormatPr defaultColWidth="0" defaultRowHeight="15" zeroHeight="1"/>
  <cols>
    <col min="1" max="9" width="9.140625" style="24" customWidth="1"/>
    <col min="10" max="16384" width="0" style="24" hidden="1"/>
  </cols>
  <sheetData>
    <row r="1" spans="1:10" s="62" customFormat="1" ht="25.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26"/>
      <c r="B2" s="26"/>
      <c r="C2" s="26"/>
      <c r="D2" s="26"/>
      <c r="E2" s="26"/>
      <c r="F2" s="26"/>
      <c r="G2" s="26"/>
      <c r="H2" s="26"/>
      <c r="I2" s="26"/>
    </row>
    <row r="3" spans="1:10" ht="17.25">
      <c r="A3" s="63" t="s">
        <v>1</v>
      </c>
      <c r="B3" s="64"/>
      <c r="C3" s="64"/>
      <c r="D3" s="65"/>
      <c r="E3" s="26"/>
      <c r="F3" s="48" t="s">
        <v>2</v>
      </c>
      <c r="G3" s="49"/>
      <c r="H3" s="49"/>
      <c r="I3" s="50"/>
    </row>
    <row r="4" spans="1:10">
      <c r="A4" s="27"/>
      <c r="B4" s="25"/>
      <c r="C4" s="25"/>
      <c r="D4" s="28"/>
      <c r="E4" s="26"/>
      <c r="F4" s="27"/>
      <c r="G4" s="25"/>
      <c r="H4" s="25"/>
      <c r="I4" s="28"/>
    </row>
    <row r="5" spans="1:10">
      <c r="A5" s="66" t="s">
        <v>3</v>
      </c>
      <c r="B5" s="67"/>
      <c r="C5" s="67"/>
      <c r="D5" s="68"/>
      <c r="E5" s="26"/>
      <c r="F5" s="51" t="s">
        <v>4</v>
      </c>
      <c r="G5" s="52"/>
      <c r="H5" s="52"/>
      <c r="I5" s="53"/>
    </row>
    <row r="6" spans="1:10" ht="60.75" customHeight="1">
      <c r="A6" s="45" t="s">
        <v>5</v>
      </c>
      <c r="B6" s="46"/>
      <c r="C6" s="46"/>
      <c r="D6" s="47"/>
      <c r="E6" s="26"/>
      <c r="F6" s="54" t="s">
        <v>6</v>
      </c>
      <c r="G6" s="55"/>
      <c r="H6" s="55"/>
      <c r="I6" s="56"/>
    </row>
    <row r="7" spans="1:10">
      <c r="A7" s="27"/>
      <c r="B7" s="25"/>
      <c r="C7" s="25"/>
      <c r="D7" s="28"/>
      <c r="E7" s="26"/>
      <c r="F7" s="27"/>
      <c r="G7" s="25"/>
      <c r="H7" s="25"/>
      <c r="I7" s="28"/>
    </row>
    <row r="8" spans="1:10">
      <c r="A8" s="51" t="s">
        <v>7</v>
      </c>
      <c r="B8" s="52"/>
      <c r="C8" s="52"/>
      <c r="D8" s="53"/>
      <c r="E8" s="26"/>
      <c r="F8" s="51" t="s">
        <v>8</v>
      </c>
      <c r="G8" s="52"/>
      <c r="H8" s="52"/>
      <c r="I8" s="53"/>
    </row>
    <row r="9" spans="1:10" ht="65.25" customHeight="1">
      <c r="A9" s="45" t="s">
        <v>9</v>
      </c>
      <c r="B9" s="46"/>
      <c r="C9" s="46"/>
      <c r="D9" s="47"/>
      <c r="E9" s="26"/>
      <c r="F9" s="54" t="s">
        <v>10</v>
      </c>
      <c r="G9" s="55"/>
      <c r="H9" s="55"/>
      <c r="I9" s="56"/>
    </row>
    <row r="10" spans="1:10" ht="51" customHeight="1">
      <c r="A10" s="45" t="s">
        <v>11</v>
      </c>
      <c r="B10" s="46"/>
      <c r="C10" s="46"/>
      <c r="D10" s="47"/>
      <c r="E10" s="26"/>
      <c r="F10" s="57"/>
      <c r="G10" s="58"/>
      <c r="H10" s="58"/>
      <c r="I10" s="59"/>
    </row>
    <row r="11" spans="1:10" ht="81.75" customHeight="1">
      <c r="A11" s="45" t="s">
        <v>12</v>
      </c>
      <c r="B11" s="46"/>
      <c r="C11" s="46"/>
      <c r="D11" s="47"/>
      <c r="E11" s="26"/>
      <c r="F11" s="27"/>
      <c r="G11" s="25"/>
      <c r="H11" s="25"/>
      <c r="I11" s="28"/>
    </row>
    <row r="12" spans="1:10">
      <c r="A12" s="29"/>
      <c r="B12" s="30"/>
      <c r="C12" s="30"/>
      <c r="D12" s="31"/>
      <c r="E12" s="26"/>
      <c r="F12" s="29"/>
      <c r="G12" s="30"/>
      <c r="H12" s="30"/>
      <c r="I12" s="31"/>
    </row>
  </sheetData>
  <mergeCells count="14">
    <mergeCell ref="A1:XFD1"/>
    <mergeCell ref="A3:D3"/>
    <mergeCell ref="A5:D5"/>
    <mergeCell ref="A6:D6"/>
    <mergeCell ref="A8:D8"/>
    <mergeCell ref="A9:D9"/>
    <mergeCell ref="A10:D10"/>
    <mergeCell ref="A11:D11"/>
    <mergeCell ref="F3:I3"/>
    <mergeCell ref="F5:I5"/>
    <mergeCell ref="F6:I6"/>
    <mergeCell ref="F8:I8"/>
    <mergeCell ref="F9:I9"/>
    <mergeCell ref="F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"/>
  <sheetViews>
    <sheetView tabSelected="1" workbookViewId="0">
      <selection sqref="A1:A1048576"/>
    </sheetView>
  </sheetViews>
  <sheetFormatPr defaultColWidth="0" defaultRowHeight="0" customHeight="1" zeroHeight="1"/>
  <cols>
    <col min="1" max="3" width="12.140625" style="2" customWidth="1"/>
    <col min="4" max="4" width="15.85546875" style="2" customWidth="1"/>
    <col min="5" max="5" width="9.7109375" style="2" customWidth="1"/>
    <col min="6" max="6" width="7.140625" style="2" customWidth="1"/>
    <col min="7" max="7" width="7.85546875" style="2" customWidth="1"/>
    <col min="8" max="12" width="9.140625" style="2" customWidth="1"/>
    <col min="13" max="13" width="9.42578125" style="2" customWidth="1"/>
    <col min="14" max="14" width="9.140625" style="2" customWidth="1"/>
    <col min="15" max="15" width="14" style="2" customWidth="1"/>
    <col min="16" max="16" width="11.85546875" style="2" customWidth="1"/>
    <col min="17" max="28" width="9.140625" style="2" hidden="1" customWidth="1"/>
    <col min="29" max="16384" width="0" style="2" hidden="1"/>
  </cols>
  <sheetData>
    <row r="1" spans="1:17" s="7" customFormat="1" ht="15.75" customHeight="1">
      <c r="A1" s="9" t="s">
        <v>13</v>
      </c>
      <c r="B1" s="9" t="s">
        <v>14</v>
      </c>
      <c r="C1" s="9" t="s">
        <v>15</v>
      </c>
      <c r="D1" s="10" t="s">
        <v>16</v>
      </c>
      <c r="E1" s="10" t="s">
        <v>17</v>
      </c>
      <c r="F1" s="15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5" t="s">
        <v>23</v>
      </c>
      <c r="L1" s="10" t="s">
        <v>24</v>
      </c>
      <c r="M1" s="10" t="s">
        <v>25</v>
      </c>
      <c r="N1" s="10" t="s">
        <v>26</v>
      </c>
      <c r="O1" s="11" t="s">
        <v>27</v>
      </c>
      <c r="P1" s="15" t="s">
        <v>28</v>
      </c>
      <c r="Q1" s="14"/>
    </row>
    <row r="2" spans="1:17" s="6" customFormat="1" ht="15.75" customHeight="1">
      <c r="A2" s="12" t="s">
        <v>29</v>
      </c>
      <c r="B2" s="12"/>
      <c r="C2" s="12" t="s">
        <v>30</v>
      </c>
      <c r="D2" s="13">
        <v>101</v>
      </c>
      <c r="E2" s="33">
        <v>0.48499999999999999</v>
      </c>
      <c r="F2" s="13">
        <v>0.78</v>
      </c>
      <c r="G2" s="33">
        <v>0.66700000000000004</v>
      </c>
      <c r="H2" s="42">
        <v>49</v>
      </c>
      <c r="I2" s="13">
        <v>52</v>
      </c>
      <c r="J2" s="13">
        <v>63</v>
      </c>
      <c r="K2" s="13">
        <v>81</v>
      </c>
      <c r="L2" s="13">
        <v>24</v>
      </c>
      <c r="M2" s="13">
        <v>0</v>
      </c>
      <c r="N2" s="13">
        <v>0</v>
      </c>
      <c r="O2" s="39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2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" s="1"/>
    </row>
    <row r="3" spans="1:17" ht="15">
      <c r="A3" s="8" t="s">
        <v>31</v>
      </c>
      <c r="B3" s="8"/>
      <c r="C3" s="8" t="s">
        <v>32</v>
      </c>
      <c r="D3" s="5">
        <v>92</v>
      </c>
      <c r="E3" s="34">
        <v>0.53300000000000003</v>
      </c>
      <c r="F3" s="5">
        <v>0.79</v>
      </c>
      <c r="G3" s="34">
        <v>0.73799999999999999</v>
      </c>
      <c r="H3" s="43">
        <v>49</v>
      </c>
      <c r="I3" s="5">
        <v>43</v>
      </c>
      <c r="J3" s="5">
        <v>61</v>
      </c>
      <c r="K3" s="5">
        <v>77</v>
      </c>
      <c r="L3" s="5">
        <v>17</v>
      </c>
      <c r="M3" s="5">
        <v>0</v>
      </c>
      <c r="N3" s="5">
        <v>1</v>
      </c>
      <c r="O3" s="4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" s="1"/>
    </row>
    <row r="4" spans="1:17" ht="15">
      <c r="A4" s="16" t="s">
        <v>33</v>
      </c>
      <c r="B4" s="16"/>
      <c r="C4" s="16" t="s">
        <v>34</v>
      </c>
      <c r="D4" s="18">
        <v>75</v>
      </c>
      <c r="E4" s="35">
        <v>0.44</v>
      </c>
      <c r="F4" s="18">
        <v>0.91</v>
      </c>
      <c r="G4" s="35">
        <v>0.52500000000000002</v>
      </c>
      <c r="H4" s="44">
        <v>33</v>
      </c>
      <c r="I4" s="18">
        <v>42</v>
      </c>
      <c r="J4" s="18">
        <v>59</v>
      </c>
      <c r="K4" s="18">
        <v>65</v>
      </c>
      <c r="L4" s="18">
        <v>15</v>
      </c>
      <c r="M4" s="18">
        <v>0</v>
      </c>
      <c r="N4" s="18">
        <v>0</v>
      </c>
      <c r="O4" s="4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4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4" s="1"/>
    </row>
    <row r="5" spans="1:17" ht="15">
      <c r="A5" s="16" t="s">
        <v>35</v>
      </c>
      <c r="B5" s="16"/>
      <c r="C5" s="16" t="s">
        <v>36</v>
      </c>
      <c r="D5" s="18">
        <v>75</v>
      </c>
      <c r="E5" s="35">
        <v>0.50700000000000001</v>
      </c>
      <c r="F5" s="18">
        <v>1.02</v>
      </c>
      <c r="G5" s="35">
        <v>0.32700000000000001</v>
      </c>
      <c r="H5" s="44">
        <v>38</v>
      </c>
      <c r="I5" s="18">
        <v>37</v>
      </c>
      <c r="J5" s="18">
        <v>55</v>
      </c>
      <c r="K5" s="18">
        <v>54</v>
      </c>
      <c r="L5" s="18">
        <v>19</v>
      </c>
      <c r="M5" s="18">
        <v>0</v>
      </c>
      <c r="N5" s="18">
        <v>0</v>
      </c>
      <c r="O5" s="4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5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5" s="1"/>
    </row>
    <row r="6" spans="1:17" ht="15">
      <c r="A6" s="16" t="s">
        <v>37</v>
      </c>
      <c r="B6" s="16"/>
      <c r="C6" s="16" t="s">
        <v>30</v>
      </c>
      <c r="D6" s="18">
        <v>219</v>
      </c>
      <c r="E6" s="35">
        <v>0.48899999999999999</v>
      </c>
      <c r="F6" s="18">
        <v>0.84</v>
      </c>
      <c r="G6" s="35">
        <v>0.65500000000000003</v>
      </c>
      <c r="H6" s="44">
        <v>107</v>
      </c>
      <c r="I6" s="18">
        <v>112</v>
      </c>
      <c r="J6" s="18">
        <v>148</v>
      </c>
      <c r="K6" s="18">
        <v>177</v>
      </c>
      <c r="L6" s="18">
        <v>39</v>
      </c>
      <c r="M6" s="18">
        <v>0</v>
      </c>
      <c r="N6" s="18">
        <v>2</v>
      </c>
      <c r="O6" s="4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6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" s="1"/>
    </row>
    <row r="7" spans="1:17" ht="15">
      <c r="A7" s="16" t="s">
        <v>38</v>
      </c>
      <c r="B7" s="16"/>
      <c r="C7" s="16" t="s">
        <v>32</v>
      </c>
      <c r="D7" s="18">
        <v>97</v>
      </c>
      <c r="E7" s="35">
        <v>0.55700000000000005</v>
      </c>
      <c r="F7" s="18">
        <v>0.56000000000000005</v>
      </c>
      <c r="G7" s="35">
        <v>0.432</v>
      </c>
      <c r="H7" s="44">
        <v>54</v>
      </c>
      <c r="I7" s="18">
        <v>43</v>
      </c>
      <c r="J7" s="18">
        <v>44</v>
      </c>
      <c r="K7" s="18">
        <v>79</v>
      </c>
      <c r="L7" s="18">
        <v>29</v>
      </c>
      <c r="M7" s="18">
        <v>0</v>
      </c>
      <c r="N7" s="18">
        <v>0</v>
      </c>
      <c r="O7" s="4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7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" s="1"/>
    </row>
    <row r="8" spans="1:17" ht="15">
      <c r="A8" s="16" t="s">
        <v>39</v>
      </c>
      <c r="B8" s="16"/>
      <c r="C8" s="16" t="s">
        <v>32</v>
      </c>
      <c r="D8" s="18">
        <v>253</v>
      </c>
      <c r="E8" s="35">
        <v>0.51400000000000001</v>
      </c>
      <c r="F8" s="18">
        <v>0.76</v>
      </c>
      <c r="G8" s="35">
        <v>0.59899999999999998</v>
      </c>
      <c r="H8" s="44">
        <v>130</v>
      </c>
      <c r="I8" s="18">
        <v>123</v>
      </c>
      <c r="J8" s="18">
        <v>157</v>
      </c>
      <c r="K8" s="18">
        <v>207</v>
      </c>
      <c r="L8" s="18">
        <v>60</v>
      </c>
      <c r="M8" s="18">
        <v>0</v>
      </c>
      <c r="N8" s="18">
        <v>1</v>
      </c>
      <c r="O8" s="4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8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8" s="1"/>
    </row>
    <row r="9" spans="1:17" ht="15">
      <c r="A9" s="16" t="s">
        <v>40</v>
      </c>
      <c r="B9" s="16"/>
      <c r="C9" s="16" t="s">
        <v>30</v>
      </c>
      <c r="D9" s="18">
        <v>37</v>
      </c>
      <c r="E9" s="35">
        <v>0.48599999999999999</v>
      </c>
      <c r="F9" s="18">
        <v>0.75</v>
      </c>
      <c r="G9" s="35">
        <v>0.52400000000000002</v>
      </c>
      <c r="H9" s="44">
        <v>18</v>
      </c>
      <c r="I9" s="18">
        <v>19</v>
      </c>
      <c r="J9" s="18">
        <v>21</v>
      </c>
      <c r="K9" s="18">
        <v>28</v>
      </c>
      <c r="L9" s="18">
        <v>3</v>
      </c>
      <c r="M9" s="18">
        <v>0</v>
      </c>
      <c r="N9" s="18">
        <v>0</v>
      </c>
      <c r="O9" s="4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9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9" s="1"/>
    </row>
    <row r="10" spans="1:17" ht="15">
      <c r="A10" s="16" t="s">
        <v>41</v>
      </c>
      <c r="B10" s="16"/>
      <c r="C10" s="16" t="s">
        <v>42</v>
      </c>
      <c r="D10" s="18">
        <v>56</v>
      </c>
      <c r="E10" s="35">
        <v>0.58899999999999997</v>
      </c>
      <c r="F10" s="18">
        <v>0.39</v>
      </c>
      <c r="G10" s="35">
        <v>0.5</v>
      </c>
      <c r="H10" s="44">
        <v>33</v>
      </c>
      <c r="I10" s="18">
        <v>23</v>
      </c>
      <c r="J10" s="18">
        <v>18</v>
      </c>
      <c r="K10" s="18">
        <v>46</v>
      </c>
      <c r="L10" s="18">
        <v>11</v>
      </c>
      <c r="M10" s="18">
        <v>0</v>
      </c>
      <c r="N10" s="18">
        <v>0</v>
      </c>
      <c r="O1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10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10" s="1"/>
    </row>
    <row r="11" spans="1:17" ht="15">
      <c r="A11" s="16" t="s">
        <v>43</v>
      </c>
      <c r="B11" s="16"/>
      <c r="C11" s="16" t="s">
        <v>30</v>
      </c>
      <c r="D11" s="18">
        <v>132</v>
      </c>
      <c r="E11" s="35">
        <v>0.47699999999999998</v>
      </c>
      <c r="F11" s="18">
        <v>0.74</v>
      </c>
      <c r="G11" s="35">
        <v>0.46300000000000002</v>
      </c>
      <c r="H11" s="44">
        <v>63</v>
      </c>
      <c r="I11" s="18">
        <v>69</v>
      </c>
      <c r="J11" s="18">
        <v>67</v>
      </c>
      <c r="K11" s="18">
        <v>90</v>
      </c>
      <c r="L11" s="18">
        <v>13</v>
      </c>
      <c r="M11" s="18">
        <v>0</v>
      </c>
      <c r="N11" s="18">
        <v>0</v>
      </c>
      <c r="O1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11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11" s="1"/>
    </row>
    <row r="12" spans="1:17" ht="15">
      <c r="A12" s="16" t="s">
        <v>44</v>
      </c>
      <c r="B12" s="16"/>
      <c r="C12" s="16" t="s">
        <v>30</v>
      </c>
      <c r="D12" s="18">
        <v>31</v>
      </c>
      <c r="E12" s="35">
        <v>0.54800000000000004</v>
      </c>
      <c r="F12" s="18">
        <v>1.04</v>
      </c>
      <c r="G12" s="35">
        <v>0.5</v>
      </c>
      <c r="H12" s="44">
        <v>17</v>
      </c>
      <c r="I12" s="18">
        <v>14</v>
      </c>
      <c r="J12" s="18">
        <v>26</v>
      </c>
      <c r="K12" s="18">
        <v>25</v>
      </c>
      <c r="L12" s="18">
        <v>6</v>
      </c>
      <c r="M12" s="18">
        <v>0</v>
      </c>
      <c r="N12" s="18">
        <v>0</v>
      </c>
      <c r="O1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12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12" s="1"/>
    </row>
    <row r="13" spans="1:17" ht="15">
      <c r="A13" s="16" t="s">
        <v>45</v>
      </c>
      <c r="B13" s="16"/>
      <c r="C13" s="16" t="s">
        <v>30</v>
      </c>
      <c r="D13" s="18">
        <v>51</v>
      </c>
      <c r="E13" s="35">
        <v>0.58799999999999997</v>
      </c>
      <c r="F13" s="18">
        <v>0.56999999999999995</v>
      </c>
      <c r="G13" s="35">
        <v>0.51900000000000002</v>
      </c>
      <c r="H13" s="44">
        <v>30</v>
      </c>
      <c r="I13" s="18">
        <v>21</v>
      </c>
      <c r="J13" s="18">
        <v>27</v>
      </c>
      <c r="K13" s="18">
        <v>47</v>
      </c>
      <c r="L13" s="18">
        <v>19</v>
      </c>
      <c r="M13" s="18">
        <v>0</v>
      </c>
      <c r="N13" s="18">
        <v>0</v>
      </c>
      <c r="O1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13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13" s="1"/>
    </row>
    <row r="14" spans="1:17" ht="15">
      <c r="A14" s="16" t="s">
        <v>46</v>
      </c>
      <c r="B14" s="16"/>
      <c r="C14" s="16" t="s">
        <v>32</v>
      </c>
      <c r="D14" s="18">
        <v>57</v>
      </c>
      <c r="E14" s="35">
        <v>0.38600000000000001</v>
      </c>
      <c r="F14" s="18">
        <v>0.65</v>
      </c>
      <c r="G14" s="35">
        <v>0.65600000000000003</v>
      </c>
      <c r="H14" s="44">
        <v>22</v>
      </c>
      <c r="I14" s="18">
        <v>35</v>
      </c>
      <c r="J14" s="18">
        <v>32</v>
      </c>
      <c r="K14" s="18">
        <v>49</v>
      </c>
      <c r="L14" s="18">
        <v>6</v>
      </c>
      <c r="M14" s="18">
        <v>0</v>
      </c>
      <c r="N14" s="18">
        <v>0</v>
      </c>
      <c r="O1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14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14" s="1"/>
    </row>
    <row r="15" spans="1:17" ht="15">
      <c r="A15" s="16" t="s">
        <v>47</v>
      </c>
      <c r="B15" s="16"/>
      <c r="C15" s="16" t="s">
        <v>42</v>
      </c>
      <c r="D15" s="18">
        <v>309</v>
      </c>
      <c r="E15" s="35">
        <v>0.48199999999999998</v>
      </c>
      <c r="F15" s="18">
        <v>0.77</v>
      </c>
      <c r="G15" s="35">
        <v>0.127</v>
      </c>
      <c r="H15" s="44">
        <v>149</v>
      </c>
      <c r="I15" s="18">
        <v>160</v>
      </c>
      <c r="J15" s="18">
        <v>197</v>
      </c>
      <c r="K15" s="18">
        <v>256</v>
      </c>
      <c r="L15" s="18">
        <v>75</v>
      </c>
      <c r="M15" s="18">
        <v>0</v>
      </c>
      <c r="N15" s="18">
        <v>0</v>
      </c>
      <c r="O1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15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15" s="1"/>
    </row>
    <row r="16" spans="1:17" ht="15">
      <c r="A16" s="16" t="s">
        <v>48</v>
      </c>
      <c r="B16" s="16"/>
      <c r="C16" s="16" t="s">
        <v>49</v>
      </c>
      <c r="D16" s="18">
        <v>46</v>
      </c>
      <c r="E16" s="35">
        <v>0.435</v>
      </c>
      <c r="F16" s="18">
        <v>0.41</v>
      </c>
      <c r="G16" s="35">
        <v>0.81200000000000006</v>
      </c>
      <c r="H16" s="44">
        <v>20</v>
      </c>
      <c r="I16" s="18">
        <v>26</v>
      </c>
      <c r="J16" s="18">
        <v>16</v>
      </c>
      <c r="K16" s="18">
        <v>39</v>
      </c>
      <c r="L16" s="18">
        <v>6</v>
      </c>
      <c r="M16" s="18">
        <v>0</v>
      </c>
      <c r="N16" s="18">
        <v>0</v>
      </c>
      <c r="O1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16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16" s="1"/>
    </row>
    <row r="17" spans="1:17" ht="15">
      <c r="A17" s="16" t="s">
        <v>50</v>
      </c>
      <c r="B17" s="16"/>
      <c r="C17" s="16" t="s">
        <v>30</v>
      </c>
      <c r="D17" s="18">
        <v>18</v>
      </c>
      <c r="E17" s="35">
        <v>0.55600000000000005</v>
      </c>
      <c r="F17" s="18">
        <v>0.54</v>
      </c>
      <c r="G17" s="35">
        <v>0.57099999999999995</v>
      </c>
      <c r="H17" s="44">
        <v>10</v>
      </c>
      <c r="I17" s="18">
        <v>8</v>
      </c>
      <c r="J17" s="18">
        <v>7</v>
      </c>
      <c r="K17" s="18">
        <v>13</v>
      </c>
      <c r="L17" s="18">
        <v>3</v>
      </c>
      <c r="M17" s="18">
        <v>0</v>
      </c>
      <c r="N17" s="18">
        <v>0</v>
      </c>
      <c r="O1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17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17" s="1"/>
    </row>
    <row r="18" spans="1:17" ht="15">
      <c r="A18" s="16" t="s">
        <v>51</v>
      </c>
      <c r="B18" s="16"/>
      <c r="C18" s="16" t="s">
        <v>32</v>
      </c>
      <c r="D18" s="18">
        <v>6</v>
      </c>
      <c r="E18" s="35">
        <v>0.66700000000000004</v>
      </c>
      <c r="F18" s="18">
        <v>1.25</v>
      </c>
      <c r="G18" s="35">
        <v>1</v>
      </c>
      <c r="H18" s="44">
        <v>4</v>
      </c>
      <c r="I18" s="18">
        <v>2</v>
      </c>
      <c r="J18" s="18">
        <v>5</v>
      </c>
      <c r="K18" s="18">
        <v>4</v>
      </c>
      <c r="L18" s="18">
        <v>2</v>
      </c>
      <c r="M18" s="18">
        <v>0</v>
      </c>
      <c r="N18" s="18">
        <v>0</v>
      </c>
      <c r="O18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18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18" s="1"/>
    </row>
    <row r="19" spans="1:17" ht="15">
      <c r="A19" s="16" t="s">
        <v>52</v>
      </c>
      <c r="B19" s="16"/>
      <c r="C19" s="16" t="s">
        <v>32</v>
      </c>
      <c r="D19" s="18">
        <v>138</v>
      </c>
      <c r="E19" s="35">
        <v>0.53600000000000003</v>
      </c>
      <c r="F19" s="18">
        <v>0.63</v>
      </c>
      <c r="G19" s="35">
        <v>0.61199999999999999</v>
      </c>
      <c r="H19" s="44">
        <v>74</v>
      </c>
      <c r="I19" s="18">
        <v>64</v>
      </c>
      <c r="J19" s="18">
        <v>67</v>
      </c>
      <c r="K19" s="18">
        <v>107</v>
      </c>
      <c r="L19" s="18">
        <v>25</v>
      </c>
      <c r="M19" s="18">
        <v>0</v>
      </c>
      <c r="N19" s="18">
        <v>1</v>
      </c>
      <c r="O19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19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19" s="1"/>
    </row>
    <row r="20" spans="1:17" ht="15">
      <c r="A20" s="16" t="s">
        <v>53</v>
      </c>
      <c r="B20" s="16"/>
      <c r="C20" s="16" t="s">
        <v>36</v>
      </c>
      <c r="D20" s="18">
        <v>274</v>
      </c>
      <c r="E20" s="35">
        <v>0.438</v>
      </c>
      <c r="F20" s="18">
        <v>0.66</v>
      </c>
      <c r="G20" s="35">
        <v>0.56899999999999995</v>
      </c>
      <c r="H20" s="44">
        <v>120</v>
      </c>
      <c r="I20" s="18">
        <v>154</v>
      </c>
      <c r="J20" s="18">
        <v>153</v>
      </c>
      <c r="K20" s="18">
        <v>232</v>
      </c>
      <c r="L20" s="18">
        <v>53</v>
      </c>
      <c r="M20" s="18">
        <v>0</v>
      </c>
      <c r="N20" s="18">
        <v>1</v>
      </c>
      <c r="O2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20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20" s="1"/>
    </row>
    <row r="21" spans="1:17" ht="15">
      <c r="A21" s="16" t="s">
        <v>54</v>
      </c>
      <c r="B21" s="16"/>
      <c r="C21" s="16" t="s">
        <v>34</v>
      </c>
      <c r="D21" s="18">
        <v>112</v>
      </c>
      <c r="E21" s="35">
        <v>0.5</v>
      </c>
      <c r="F21" s="18">
        <v>0.56999999999999995</v>
      </c>
      <c r="G21" s="35">
        <v>0.46500000000000002</v>
      </c>
      <c r="H21" s="44">
        <v>56</v>
      </c>
      <c r="I21" s="18">
        <v>56</v>
      </c>
      <c r="J21" s="18">
        <v>43</v>
      </c>
      <c r="K21" s="13">
        <v>76</v>
      </c>
      <c r="L21" s="18">
        <v>11</v>
      </c>
      <c r="M21" s="18">
        <v>0</v>
      </c>
      <c r="N21" s="18">
        <v>0</v>
      </c>
      <c r="O2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21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1" s="1"/>
    </row>
    <row r="22" spans="1:17" ht="15">
      <c r="A22" s="16" t="s">
        <v>55</v>
      </c>
      <c r="B22" s="16"/>
      <c r="C22" s="16" t="s">
        <v>32</v>
      </c>
      <c r="D22" s="18">
        <v>340</v>
      </c>
      <c r="E22" s="35">
        <v>0.52400000000000002</v>
      </c>
      <c r="F22" s="18">
        <v>0.85</v>
      </c>
      <c r="G22" s="35">
        <v>0.73499999999999999</v>
      </c>
      <c r="H22" s="44">
        <v>178</v>
      </c>
      <c r="I22" s="18">
        <v>162</v>
      </c>
      <c r="J22" s="18">
        <v>245</v>
      </c>
      <c r="K22" s="18">
        <v>288</v>
      </c>
      <c r="L22" s="18">
        <v>81</v>
      </c>
      <c r="M22" s="18">
        <v>0</v>
      </c>
      <c r="N22" s="18">
        <v>2</v>
      </c>
      <c r="O2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22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2" s="1"/>
    </row>
    <row r="23" spans="1:17" ht="15">
      <c r="A23" s="16" t="s">
        <v>56</v>
      </c>
      <c r="B23" s="16"/>
      <c r="C23" s="16" t="s">
        <v>32</v>
      </c>
      <c r="D23" s="18">
        <v>77</v>
      </c>
      <c r="E23" s="35">
        <v>0.46800000000000003</v>
      </c>
      <c r="F23" s="18">
        <v>0.76</v>
      </c>
      <c r="G23" s="35">
        <v>0.64400000000000002</v>
      </c>
      <c r="H23" s="44">
        <v>36</v>
      </c>
      <c r="I23" s="18">
        <v>41</v>
      </c>
      <c r="J23" s="18">
        <v>45</v>
      </c>
      <c r="K23" s="18">
        <v>59</v>
      </c>
      <c r="L23" s="18">
        <v>9</v>
      </c>
      <c r="M23" s="18">
        <v>0</v>
      </c>
      <c r="N23" s="18">
        <v>0</v>
      </c>
      <c r="O2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23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3" s="1"/>
    </row>
    <row r="24" spans="1:17" ht="15">
      <c r="A24" s="16" t="s">
        <v>57</v>
      </c>
      <c r="B24" s="16"/>
      <c r="C24" s="16" t="s">
        <v>30</v>
      </c>
      <c r="D24" s="18">
        <v>192</v>
      </c>
      <c r="E24" s="35">
        <v>0.48399999999999999</v>
      </c>
      <c r="F24" s="18">
        <v>0.94</v>
      </c>
      <c r="G24" s="35">
        <v>0.625</v>
      </c>
      <c r="H24" s="44">
        <v>93</v>
      </c>
      <c r="I24" s="18">
        <v>99</v>
      </c>
      <c r="J24" s="18">
        <v>144</v>
      </c>
      <c r="K24" s="18">
        <v>154</v>
      </c>
      <c r="L24" s="18">
        <v>38</v>
      </c>
      <c r="M24" s="18">
        <v>0</v>
      </c>
      <c r="N24" s="18">
        <v>0</v>
      </c>
      <c r="O2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24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4" s="1"/>
    </row>
    <row r="25" spans="1:17" ht="15">
      <c r="A25" s="16" t="s">
        <v>58</v>
      </c>
      <c r="B25" s="16"/>
      <c r="C25" s="16" t="s">
        <v>30</v>
      </c>
      <c r="D25" s="18">
        <v>41</v>
      </c>
      <c r="E25" s="35">
        <v>0.36599999999999999</v>
      </c>
      <c r="F25" s="18">
        <v>0.94</v>
      </c>
      <c r="G25" s="35">
        <v>0.53300000000000003</v>
      </c>
      <c r="H25" s="44">
        <v>15</v>
      </c>
      <c r="I25" s="18">
        <v>26</v>
      </c>
      <c r="J25" s="18">
        <v>30</v>
      </c>
      <c r="K25" s="18">
        <v>32</v>
      </c>
      <c r="L25" s="18">
        <v>7</v>
      </c>
      <c r="M25" s="18">
        <v>0</v>
      </c>
      <c r="N25" s="18">
        <v>0</v>
      </c>
      <c r="O2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25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25" s="1"/>
    </row>
    <row r="26" spans="1:17" ht="15">
      <c r="A26" s="16" t="s">
        <v>59</v>
      </c>
      <c r="B26" s="16"/>
      <c r="C26" s="16" t="s">
        <v>32</v>
      </c>
      <c r="D26" s="18">
        <v>202</v>
      </c>
      <c r="E26" s="35">
        <v>0.52</v>
      </c>
      <c r="F26" s="18">
        <v>0.76</v>
      </c>
      <c r="G26" s="35">
        <v>0.47599999999999998</v>
      </c>
      <c r="H26" s="44">
        <v>105</v>
      </c>
      <c r="I26" s="18">
        <v>97</v>
      </c>
      <c r="J26" s="18">
        <v>124</v>
      </c>
      <c r="K26" s="18">
        <v>164</v>
      </c>
      <c r="L26" s="18">
        <v>89</v>
      </c>
      <c r="M26" s="18">
        <v>0</v>
      </c>
      <c r="N26" s="18">
        <v>1</v>
      </c>
      <c r="O2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26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6" s="1"/>
    </row>
    <row r="27" spans="1:17" ht="15">
      <c r="A27" s="16" t="s">
        <v>60</v>
      </c>
      <c r="B27" s="16"/>
      <c r="C27" s="16" t="s">
        <v>30</v>
      </c>
      <c r="D27" s="18">
        <v>199</v>
      </c>
      <c r="E27" s="35">
        <v>0.48699999999999999</v>
      </c>
      <c r="F27" s="18">
        <v>1.0900000000000001</v>
      </c>
      <c r="G27" s="35">
        <v>0.39300000000000002</v>
      </c>
      <c r="H27" s="44">
        <v>97</v>
      </c>
      <c r="I27" s="18">
        <v>102</v>
      </c>
      <c r="J27" s="18">
        <v>163</v>
      </c>
      <c r="K27" s="18">
        <v>154</v>
      </c>
      <c r="L27" s="18">
        <v>51</v>
      </c>
      <c r="M27" s="18">
        <v>0</v>
      </c>
      <c r="N27" s="18">
        <v>3</v>
      </c>
      <c r="O2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27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27" s="1"/>
    </row>
    <row r="28" spans="1:17" ht="15">
      <c r="A28" s="16" t="s">
        <v>61</v>
      </c>
      <c r="B28" s="16"/>
      <c r="C28" s="16" t="s">
        <v>36</v>
      </c>
      <c r="D28" s="18">
        <v>23</v>
      </c>
      <c r="E28" s="35">
        <v>0.47799999999999998</v>
      </c>
      <c r="F28" s="18">
        <v>0.59</v>
      </c>
      <c r="G28" s="35">
        <v>0.4</v>
      </c>
      <c r="H28" s="44">
        <v>11</v>
      </c>
      <c r="I28" s="18">
        <v>12</v>
      </c>
      <c r="J28" s="18">
        <v>10</v>
      </c>
      <c r="K28" s="18">
        <v>17</v>
      </c>
      <c r="L28" s="18">
        <v>6</v>
      </c>
      <c r="M28" s="18">
        <v>0</v>
      </c>
      <c r="N28" s="18">
        <v>0</v>
      </c>
      <c r="O28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28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28" s="1"/>
    </row>
    <row r="29" spans="1:17" ht="15">
      <c r="A29" s="16" t="s">
        <v>62</v>
      </c>
      <c r="B29" s="16"/>
      <c r="C29" s="16" t="s">
        <v>32</v>
      </c>
      <c r="D29" s="18">
        <v>29</v>
      </c>
      <c r="E29" s="35">
        <v>0.58599999999999997</v>
      </c>
      <c r="F29" s="18">
        <v>0.35</v>
      </c>
      <c r="G29" s="35">
        <v>0.88900000000000001</v>
      </c>
      <c r="H29" s="44">
        <v>17</v>
      </c>
      <c r="I29" s="18">
        <v>12</v>
      </c>
      <c r="J29" s="18">
        <v>9</v>
      </c>
      <c r="K29" s="18">
        <v>26</v>
      </c>
      <c r="L29" s="18">
        <v>5</v>
      </c>
      <c r="M29" s="18">
        <v>0</v>
      </c>
      <c r="N29" s="18">
        <v>0</v>
      </c>
      <c r="O29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29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29" s="1"/>
    </row>
    <row r="30" spans="1:17" ht="15">
      <c r="A30" s="16" t="s">
        <v>63</v>
      </c>
      <c r="B30" s="16"/>
      <c r="C30" s="16" t="s">
        <v>30</v>
      </c>
      <c r="D30" s="18">
        <v>36</v>
      </c>
      <c r="E30" s="35">
        <v>0.61099999999999999</v>
      </c>
      <c r="F30" s="18">
        <v>1.1200000000000001</v>
      </c>
      <c r="G30" s="35">
        <v>0.53600000000000003</v>
      </c>
      <c r="H30" s="44">
        <v>22</v>
      </c>
      <c r="I30" s="18">
        <v>14</v>
      </c>
      <c r="J30" s="18">
        <v>28</v>
      </c>
      <c r="K30" s="18">
        <v>25</v>
      </c>
      <c r="L30" s="18">
        <v>6</v>
      </c>
      <c r="M30" s="18">
        <v>0</v>
      </c>
      <c r="N30" s="18">
        <v>0</v>
      </c>
      <c r="O3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30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30" s="1"/>
    </row>
    <row r="31" spans="1:17" ht="15">
      <c r="A31" s="16" t="s">
        <v>64</v>
      </c>
      <c r="B31" s="16"/>
      <c r="C31" s="16" t="s">
        <v>30</v>
      </c>
      <c r="D31" s="18">
        <v>49</v>
      </c>
      <c r="E31" s="35">
        <v>0.40799999999999997</v>
      </c>
      <c r="F31" s="18">
        <v>0.83</v>
      </c>
      <c r="G31" s="35">
        <v>0.65700000000000003</v>
      </c>
      <c r="H31" s="44">
        <v>20</v>
      </c>
      <c r="I31" s="18">
        <v>29</v>
      </c>
      <c r="J31" s="18">
        <v>35</v>
      </c>
      <c r="K31" s="18">
        <v>42</v>
      </c>
      <c r="L31" s="18">
        <v>10</v>
      </c>
      <c r="M31" s="18">
        <v>0</v>
      </c>
      <c r="N31" s="18">
        <v>0</v>
      </c>
      <c r="O3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31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31" s="1"/>
    </row>
    <row r="32" spans="1:17" ht="15">
      <c r="A32" s="16" t="s">
        <v>65</v>
      </c>
      <c r="B32" s="16"/>
      <c r="C32" s="16" t="s">
        <v>66</v>
      </c>
      <c r="D32" s="18">
        <v>166</v>
      </c>
      <c r="E32" s="35">
        <v>0.51800000000000002</v>
      </c>
      <c r="F32" s="18">
        <v>0.99</v>
      </c>
      <c r="G32" s="35">
        <v>0.41899999999999998</v>
      </c>
      <c r="H32" s="44">
        <v>86</v>
      </c>
      <c r="I32" s="18">
        <v>80</v>
      </c>
      <c r="J32" s="18">
        <v>124</v>
      </c>
      <c r="K32" s="18">
        <v>125</v>
      </c>
      <c r="L32" s="18">
        <v>41</v>
      </c>
      <c r="M32" s="18">
        <v>0</v>
      </c>
      <c r="N32" s="18">
        <v>1</v>
      </c>
      <c r="O3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2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2" s="1"/>
    </row>
    <row r="33" spans="1:17" ht="15">
      <c r="A33" s="16" t="s">
        <v>67</v>
      </c>
      <c r="B33" s="16"/>
      <c r="C33" s="16" t="s">
        <v>30</v>
      </c>
      <c r="D33" s="18">
        <v>197</v>
      </c>
      <c r="E33" s="35">
        <v>0.46700000000000003</v>
      </c>
      <c r="F33" s="18">
        <v>0.91</v>
      </c>
      <c r="G33" s="35">
        <v>0.65700000000000003</v>
      </c>
      <c r="H33" s="44">
        <v>92</v>
      </c>
      <c r="I33" s="18">
        <v>105</v>
      </c>
      <c r="J33" s="18">
        <v>137</v>
      </c>
      <c r="K33" s="18">
        <v>150</v>
      </c>
      <c r="L33" s="18">
        <v>37</v>
      </c>
      <c r="M33" s="18">
        <v>0</v>
      </c>
      <c r="N33" s="18">
        <v>2</v>
      </c>
      <c r="O3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3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3" s="1"/>
    </row>
    <row r="34" spans="1:17" ht="15">
      <c r="A34" s="16" t="s">
        <v>68</v>
      </c>
      <c r="B34" s="16"/>
      <c r="C34" s="16" t="s">
        <v>30</v>
      </c>
      <c r="D34" s="18">
        <v>252</v>
      </c>
      <c r="E34" s="35">
        <v>0.47199999999999998</v>
      </c>
      <c r="F34" s="18">
        <v>0.83</v>
      </c>
      <c r="G34" s="35">
        <v>0.69599999999999995</v>
      </c>
      <c r="H34" s="44">
        <v>119</v>
      </c>
      <c r="I34" s="18">
        <v>133</v>
      </c>
      <c r="J34" s="18">
        <v>161</v>
      </c>
      <c r="K34" s="18">
        <v>193</v>
      </c>
      <c r="L34" s="18">
        <v>30</v>
      </c>
      <c r="M34" s="18">
        <v>0</v>
      </c>
      <c r="N34" s="18">
        <v>2</v>
      </c>
      <c r="O3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4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4" s="1"/>
    </row>
    <row r="35" spans="1:17" ht="15">
      <c r="A35" s="16" t="s">
        <v>69</v>
      </c>
      <c r="B35" s="16"/>
      <c r="C35" s="16" t="s">
        <v>30</v>
      </c>
      <c r="D35" s="18">
        <v>79</v>
      </c>
      <c r="E35" s="35">
        <v>0.59099999999999997</v>
      </c>
      <c r="F35" s="18">
        <v>0.71</v>
      </c>
      <c r="G35" s="35">
        <v>0.63600000000000001</v>
      </c>
      <c r="H35" s="44">
        <v>41</v>
      </c>
      <c r="I35" s="18">
        <v>38</v>
      </c>
      <c r="J35" s="18">
        <v>44</v>
      </c>
      <c r="K35" s="18">
        <v>62</v>
      </c>
      <c r="L35" s="18">
        <v>19</v>
      </c>
      <c r="M35" s="18">
        <v>0</v>
      </c>
      <c r="N35" s="18">
        <v>1</v>
      </c>
      <c r="O3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5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5" s="1"/>
    </row>
    <row r="36" spans="1:17" ht="15">
      <c r="A36" s="16" t="s">
        <v>70</v>
      </c>
      <c r="B36" s="16"/>
      <c r="C36" s="16" t="s">
        <v>30</v>
      </c>
      <c r="D36" s="18">
        <v>111</v>
      </c>
      <c r="E36" s="35">
        <v>0.46800000000000003</v>
      </c>
      <c r="F36" s="18">
        <v>0.72</v>
      </c>
      <c r="G36" s="35">
        <v>0.53700000000000003</v>
      </c>
      <c r="H36" s="44">
        <v>52</v>
      </c>
      <c r="I36" s="18">
        <v>59</v>
      </c>
      <c r="J36" s="18">
        <v>67</v>
      </c>
      <c r="K36" s="18">
        <v>93</v>
      </c>
      <c r="L36" s="18">
        <v>23</v>
      </c>
      <c r="M36" s="18">
        <v>0</v>
      </c>
      <c r="N36" s="18">
        <v>0</v>
      </c>
      <c r="O3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6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6" s="1"/>
    </row>
    <row r="37" spans="1:17" ht="15">
      <c r="A37" s="16" t="s">
        <v>71</v>
      </c>
      <c r="B37" s="16"/>
      <c r="C37" s="16" t="s">
        <v>66</v>
      </c>
      <c r="D37" s="18">
        <v>149</v>
      </c>
      <c r="E37" s="35">
        <v>0.47699999999999998</v>
      </c>
      <c r="F37" s="18">
        <v>0.66</v>
      </c>
      <c r="G37" s="35">
        <v>0.312</v>
      </c>
      <c r="H37" s="44">
        <v>71</v>
      </c>
      <c r="I37" s="18">
        <v>78</v>
      </c>
      <c r="J37" s="18">
        <v>80</v>
      </c>
      <c r="K37" s="18">
        <v>121</v>
      </c>
      <c r="L37" s="18">
        <v>27</v>
      </c>
      <c r="M37" s="18">
        <v>0</v>
      </c>
      <c r="N37" s="18">
        <v>1</v>
      </c>
      <c r="O3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37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37" s="1"/>
    </row>
    <row r="38" spans="1:17" ht="15">
      <c r="A38" s="16" t="s">
        <v>72</v>
      </c>
      <c r="B38" s="16"/>
      <c r="C38" s="16" t="s">
        <v>49</v>
      </c>
      <c r="D38" s="18">
        <v>215</v>
      </c>
      <c r="E38" s="35">
        <v>0.48399999999999999</v>
      </c>
      <c r="F38" s="18">
        <v>1.1299999999999999</v>
      </c>
      <c r="G38" s="35">
        <v>0.46600000000000003</v>
      </c>
      <c r="H38" s="44">
        <v>104</v>
      </c>
      <c r="I38" s="18">
        <v>111</v>
      </c>
      <c r="J38" s="18">
        <v>168</v>
      </c>
      <c r="K38" s="18">
        <v>149</v>
      </c>
      <c r="L38" s="18">
        <v>31</v>
      </c>
      <c r="M38" s="18">
        <v>0</v>
      </c>
      <c r="N38" s="18">
        <v>2</v>
      </c>
      <c r="O38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8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8" s="1"/>
    </row>
    <row r="39" spans="1:17" ht="15">
      <c r="A39" s="16" t="s">
        <v>73</v>
      </c>
      <c r="B39" s="16"/>
      <c r="C39" s="16" t="s">
        <v>32</v>
      </c>
      <c r="D39" s="18">
        <v>81</v>
      </c>
      <c r="E39" s="35">
        <v>0.53100000000000003</v>
      </c>
      <c r="F39" s="18">
        <v>1.06</v>
      </c>
      <c r="G39" s="35">
        <v>0.40500000000000003</v>
      </c>
      <c r="H39" s="44">
        <v>43</v>
      </c>
      <c r="I39" s="18">
        <v>38</v>
      </c>
      <c r="J39" s="18">
        <v>74</v>
      </c>
      <c r="K39" s="18">
        <v>70</v>
      </c>
      <c r="L39" s="18">
        <v>48</v>
      </c>
      <c r="M39" s="18">
        <v>0</v>
      </c>
      <c r="N39" s="18">
        <v>0</v>
      </c>
      <c r="O39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39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39" s="1"/>
    </row>
    <row r="40" spans="1:17" ht="15">
      <c r="A40" s="16" t="s">
        <v>74</v>
      </c>
      <c r="B40" s="16"/>
      <c r="C40" s="16" t="s">
        <v>32</v>
      </c>
      <c r="D40" s="18">
        <v>252</v>
      </c>
      <c r="E40" s="35">
        <v>0.49199999999999999</v>
      </c>
      <c r="F40" s="18">
        <v>0.78</v>
      </c>
      <c r="G40" s="35">
        <v>0.628</v>
      </c>
      <c r="H40" s="44">
        <v>124</v>
      </c>
      <c r="I40" s="18">
        <v>128</v>
      </c>
      <c r="J40" s="18">
        <v>156</v>
      </c>
      <c r="K40" s="18">
        <v>200</v>
      </c>
      <c r="L40" s="18">
        <v>72</v>
      </c>
      <c r="M40" s="18">
        <v>0</v>
      </c>
      <c r="N40" s="18">
        <v>0</v>
      </c>
      <c r="O4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40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0" s="1"/>
    </row>
    <row r="41" spans="1:17" ht="15">
      <c r="A41" s="16" t="s">
        <v>75</v>
      </c>
      <c r="B41" s="16"/>
      <c r="C41" s="16" t="s">
        <v>30</v>
      </c>
      <c r="D41" s="18">
        <v>121</v>
      </c>
      <c r="E41" s="35">
        <v>0.496</v>
      </c>
      <c r="F41" s="18">
        <v>0.49</v>
      </c>
      <c r="G41" s="35">
        <v>0.58499999999999996</v>
      </c>
      <c r="H41" s="44">
        <v>60</v>
      </c>
      <c r="I41" s="18">
        <v>61</v>
      </c>
      <c r="J41" s="18">
        <v>53</v>
      </c>
      <c r="K41" s="18">
        <v>108</v>
      </c>
      <c r="L41" s="18">
        <v>24</v>
      </c>
      <c r="M41" s="18">
        <v>0</v>
      </c>
      <c r="N41" s="18">
        <v>0</v>
      </c>
      <c r="O4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41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1" s="1"/>
    </row>
    <row r="42" spans="1:17" ht="15">
      <c r="A42" s="16" t="s">
        <v>76</v>
      </c>
      <c r="B42" s="16"/>
      <c r="C42" s="16" t="s">
        <v>77</v>
      </c>
      <c r="D42" s="18">
        <v>127</v>
      </c>
      <c r="E42" s="35">
        <v>0.53500000000000003</v>
      </c>
      <c r="F42" s="18">
        <v>0.73</v>
      </c>
      <c r="G42" s="35">
        <v>0.49199999999999999</v>
      </c>
      <c r="H42" s="44">
        <v>68</v>
      </c>
      <c r="I42" s="18">
        <v>59</v>
      </c>
      <c r="J42" s="18">
        <v>59</v>
      </c>
      <c r="K42" s="18">
        <v>81</v>
      </c>
      <c r="L42" s="18">
        <v>25</v>
      </c>
      <c r="M42" s="18">
        <v>0</v>
      </c>
      <c r="N42" s="18">
        <v>0</v>
      </c>
      <c r="O4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42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2" s="1"/>
    </row>
    <row r="43" spans="1:17" ht="15">
      <c r="A43" s="16" t="s">
        <v>78</v>
      </c>
      <c r="B43" s="16"/>
      <c r="C43" s="16" t="s">
        <v>30</v>
      </c>
      <c r="D43" s="18">
        <v>26</v>
      </c>
      <c r="E43" s="35">
        <v>0.38500000000000001</v>
      </c>
      <c r="F43" s="18">
        <v>0.45</v>
      </c>
      <c r="G43" s="35">
        <v>0.6</v>
      </c>
      <c r="H43" s="44">
        <v>10</v>
      </c>
      <c r="I43" s="18">
        <v>16</v>
      </c>
      <c r="J43" s="18">
        <v>10</v>
      </c>
      <c r="K43" s="18">
        <v>22</v>
      </c>
      <c r="L43" s="18">
        <v>6</v>
      </c>
      <c r="M43" s="18">
        <v>0</v>
      </c>
      <c r="N43" s="18">
        <v>0</v>
      </c>
      <c r="O4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43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43" s="1"/>
    </row>
    <row r="44" spans="1:17" ht="15">
      <c r="A44" s="16" t="s">
        <v>79</v>
      </c>
      <c r="B44" s="16"/>
      <c r="C44" s="16" t="s">
        <v>32</v>
      </c>
      <c r="D44" s="18">
        <v>99</v>
      </c>
      <c r="E44" s="35">
        <v>0.46500000000000002</v>
      </c>
      <c r="F44" s="18">
        <v>0.52</v>
      </c>
      <c r="G44" s="35">
        <v>0.60899999999999999</v>
      </c>
      <c r="H44" s="44">
        <v>46</v>
      </c>
      <c r="I44" s="18">
        <v>53</v>
      </c>
      <c r="J44" s="18">
        <v>46</v>
      </c>
      <c r="K44" s="18">
        <v>88</v>
      </c>
      <c r="L44" s="18">
        <v>27</v>
      </c>
      <c r="M44" s="18">
        <v>0</v>
      </c>
      <c r="N44" s="18">
        <v>0</v>
      </c>
      <c r="O4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44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4" s="1"/>
    </row>
    <row r="45" spans="1:17" ht="15">
      <c r="A45" s="16" t="s">
        <v>80</v>
      </c>
      <c r="B45" s="16"/>
      <c r="C45" s="16" t="s">
        <v>32</v>
      </c>
      <c r="D45" s="18">
        <v>131</v>
      </c>
      <c r="E45" s="35">
        <v>0.51100000000000001</v>
      </c>
      <c r="F45" s="18">
        <v>0.69</v>
      </c>
      <c r="G45" s="35">
        <v>0.73899999999999999</v>
      </c>
      <c r="H45" s="44">
        <v>67</v>
      </c>
      <c r="I45" s="18">
        <v>64</v>
      </c>
      <c r="J45" s="18">
        <v>69</v>
      </c>
      <c r="K45" s="18">
        <v>100</v>
      </c>
      <c r="L45" s="18">
        <v>37</v>
      </c>
      <c r="M45" s="18">
        <v>0</v>
      </c>
      <c r="N45" s="18">
        <v>2</v>
      </c>
      <c r="O4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45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5" s="1"/>
    </row>
    <row r="46" spans="1:17" ht="15">
      <c r="A46" s="16" t="s">
        <v>81</v>
      </c>
      <c r="B46" s="16"/>
      <c r="C46" s="16" t="s">
        <v>42</v>
      </c>
      <c r="D46" s="18">
        <v>21</v>
      </c>
      <c r="E46" s="35">
        <v>0.33300000000000002</v>
      </c>
      <c r="F46" s="18">
        <v>0.21</v>
      </c>
      <c r="G46" s="35">
        <v>0.25</v>
      </c>
      <c r="H46" s="44">
        <v>7</v>
      </c>
      <c r="I46" s="18">
        <v>14</v>
      </c>
      <c r="J46" s="18">
        <v>4</v>
      </c>
      <c r="K46" s="18">
        <v>19</v>
      </c>
      <c r="L46" s="18">
        <v>7</v>
      </c>
      <c r="M46" s="18">
        <v>0</v>
      </c>
      <c r="N46" s="18">
        <v>0</v>
      </c>
      <c r="O4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46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46" s="1"/>
    </row>
    <row r="47" spans="1:17" ht="15">
      <c r="A47" s="16" t="s">
        <v>82</v>
      </c>
      <c r="B47" s="16"/>
      <c r="C47" s="16" t="s">
        <v>32</v>
      </c>
      <c r="D47" s="18">
        <v>69</v>
      </c>
      <c r="E47" s="35">
        <v>0.44900000000000001</v>
      </c>
      <c r="F47" s="18">
        <v>0.51</v>
      </c>
      <c r="G47" s="35">
        <v>0.5</v>
      </c>
      <c r="H47" s="44">
        <v>31</v>
      </c>
      <c r="I47" s="18">
        <v>38</v>
      </c>
      <c r="J47" s="18">
        <v>30</v>
      </c>
      <c r="K47" s="18">
        <v>59</v>
      </c>
      <c r="L47" s="18">
        <v>13</v>
      </c>
      <c r="M47" s="18">
        <v>0</v>
      </c>
      <c r="N47" s="18">
        <v>0</v>
      </c>
      <c r="O4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47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47" s="1"/>
    </row>
    <row r="48" spans="1:17" ht="15">
      <c r="A48" s="16" t="s">
        <v>83</v>
      </c>
      <c r="B48" s="16"/>
      <c r="C48" s="16" t="s">
        <v>34</v>
      </c>
      <c r="D48" s="18">
        <v>280</v>
      </c>
      <c r="E48" s="35">
        <v>0.504</v>
      </c>
      <c r="F48" s="18">
        <v>0.7</v>
      </c>
      <c r="G48" s="35">
        <v>0.51600000000000001</v>
      </c>
      <c r="H48" s="44">
        <v>141</v>
      </c>
      <c r="I48" s="18">
        <v>139</v>
      </c>
      <c r="J48" s="18">
        <v>159</v>
      </c>
      <c r="K48" s="18">
        <v>227</v>
      </c>
      <c r="L48" s="18">
        <v>50</v>
      </c>
      <c r="M48" s="18">
        <v>1</v>
      </c>
      <c r="N48" s="18">
        <v>0</v>
      </c>
      <c r="O48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48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8" s="1"/>
    </row>
    <row r="49" spans="1:17" ht="15">
      <c r="A49" s="16" t="s">
        <v>84</v>
      </c>
      <c r="B49" s="16"/>
      <c r="C49" s="16" t="s">
        <v>32</v>
      </c>
      <c r="D49" s="18">
        <v>62</v>
      </c>
      <c r="E49" s="35">
        <v>0.5</v>
      </c>
      <c r="F49" s="18">
        <v>0.8</v>
      </c>
      <c r="G49" s="35">
        <v>0.58499999999999996</v>
      </c>
      <c r="H49" s="44">
        <v>31</v>
      </c>
      <c r="I49" s="18">
        <v>31</v>
      </c>
      <c r="J49" s="18">
        <v>41</v>
      </c>
      <c r="K49" s="18">
        <v>51</v>
      </c>
      <c r="L49" s="18">
        <v>16</v>
      </c>
      <c r="M49" s="18">
        <v>0</v>
      </c>
      <c r="N49" s="18">
        <v>0</v>
      </c>
      <c r="O49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49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49" s="1"/>
    </row>
    <row r="50" spans="1:17" ht="15">
      <c r="A50" s="16" t="s">
        <v>85</v>
      </c>
      <c r="B50" s="16"/>
      <c r="C50" s="16" t="s">
        <v>30</v>
      </c>
      <c r="D50" s="18">
        <v>101</v>
      </c>
      <c r="E50" s="35">
        <v>0.57399999999999995</v>
      </c>
      <c r="F50" s="18">
        <v>0.87</v>
      </c>
      <c r="G50" s="35">
        <v>0.61099999999999999</v>
      </c>
      <c r="H50" s="44">
        <v>58</v>
      </c>
      <c r="I50" s="18">
        <v>43</v>
      </c>
      <c r="J50" s="18">
        <v>72</v>
      </c>
      <c r="K50" s="18">
        <v>83</v>
      </c>
      <c r="L50" s="18">
        <v>17</v>
      </c>
      <c r="M50" s="18">
        <v>0</v>
      </c>
      <c r="N50" s="18">
        <v>0</v>
      </c>
      <c r="O5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50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50" s="1"/>
    </row>
    <row r="51" spans="1:17" ht="15">
      <c r="A51" s="16" t="s">
        <v>86</v>
      </c>
      <c r="B51" s="16"/>
      <c r="C51" s="16" t="s">
        <v>34</v>
      </c>
      <c r="D51" s="18">
        <v>28</v>
      </c>
      <c r="E51" s="35">
        <v>0.60699999999999998</v>
      </c>
      <c r="F51" s="18">
        <v>0.88</v>
      </c>
      <c r="G51" s="35">
        <v>0.42899999999999999</v>
      </c>
      <c r="H51" s="44">
        <v>17</v>
      </c>
      <c r="I51" s="18">
        <v>11</v>
      </c>
      <c r="J51" s="18">
        <v>21</v>
      </c>
      <c r="K51" s="18">
        <v>24</v>
      </c>
      <c r="L51" s="18">
        <v>1</v>
      </c>
      <c r="M51" s="18">
        <v>0</v>
      </c>
      <c r="N51" s="18">
        <v>0</v>
      </c>
      <c r="O5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51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51" s="1"/>
    </row>
    <row r="52" spans="1:17" ht="15">
      <c r="A52" s="16" t="s">
        <v>87</v>
      </c>
      <c r="B52" s="16"/>
      <c r="C52" s="16" t="s">
        <v>30</v>
      </c>
      <c r="D52" s="18">
        <v>50</v>
      </c>
      <c r="E52" s="35">
        <v>0.28000000000000003</v>
      </c>
      <c r="F52" s="18">
        <v>0.68</v>
      </c>
      <c r="G52" s="35">
        <v>0.5</v>
      </c>
      <c r="H52" s="44">
        <v>14</v>
      </c>
      <c r="I52" s="18">
        <v>36</v>
      </c>
      <c r="J52" s="18">
        <v>32</v>
      </c>
      <c r="K52" s="18">
        <v>47</v>
      </c>
      <c r="L52" s="18">
        <v>7</v>
      </c>
      <c r="M52" s="18">
        <v>0</v>
      </c>
      <c r="N52" s="18">
        <v>1</v>
      </c>
      <c r="O5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52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52" s="1"/>
    </row>
    <row r="53" spans="1:17" ht="15">
      <c r="A53" s="16" t="s">
        <v>88</v>
      </c>
      <c r="B53" s="16"/>
      <c r="C53" s="16" t="s">
        <v>32</v>
      </c>
      <c r="D53" s="18">
        <v>78</v>
      </c>
      <c r="E53" s="35">
        <v>0.53800000000000003</v>
      </c>
      <c r="F53" s="18">
        <v>0.81</v>
      </c>
      <c r="G53" s="35">
        <v>0.45800000000000002</v>
      </c>
      <c r="H53" s="44">
        <v>42</v>
      </c>
      <c r="I53" s="18">
        <v>36</v>
      </c>
      <c r="J53" s="18">
        <v>48</v>
      </c>
      <c r="K53" s="18">
        <v>59</v>
      </c>
      <c r="L53" s="18">
        <v>14</v>
      </c>
      <c r="M53" s="18">
        <v>1</v>
      </c>
      <c r="N53" s="18">
        <v>0</v>
      </c>
      <c r="O5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53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53" s="1"/>
    </row>
    <row r="54" spans="1:17" ht="15">
      <c r="A54" s="16" t="s">
        <v>89</v>
      </c>
      <c r="B54" s="16"/>
      <c r="C54" s="16" t="s">
        <v>30</v>
      </c>
      <c r="D54" s="18">
        <v>26</v>
      </c>
      <c r="E54" s="35">
        <v>0.42299999999999999</v>
      </c>
      <c r="F54" s="18">
        <v>1.06</v>
      </c>
      <c r="G54" s="35">
        <v>0.78900000000000003</v>
      </c>
      <c r="H54" s="44">
        <v>11</v>
      </c>
      <c r="I54" s="18">
        <v>15</v>
      </c>
      <c r="J54" s="18">
        <v>19</v>
      </c>
      <c r="K54" s="18">
        <v>18</v>
      </c>
      <c r="L54" s="18">
        <v>3</v>
      </c>
      <c r="M54" s="18">
        <v>0</v>
      </c>
      <c r="N54" s="18">
        <v>0</v>
      </c>
      <c r="O5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54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54" s="1"/>
    </row>
    <row r="55" spans="1:17" ht="15">
      <c r="A55" s="16" t="s">
        <v>90</v>
      </c>
      <c r="B55" s="16"/>
      <c r="C55" s="16" t="s">
        <v>77</v>
      </c>
      <c r="D55" s="18">
        <v>24</v>
      </c>
      <c r="E55" s="35">
        <v>0.70799999999999996</v>
      </c>
      <c r="F55" s="18">
        <v>0.42</v>
      </c>
      <c r="G55" s="35">
        <v>0.375</v>
      </c>
      <c r="H55" s="44">
        <v>17</v>
      </c>
      <c r="I55" s="18">
        <v>7</v>
      </c>
      <c r="J55" s="18">
        <v>8</v>
      </c>
      <c r="K55" s="18">
        <v>19</v>
      </c>
      <c r="L55" s="18">
        <v>6</v>
      </c>
      <c r="M55" s="18">
        <v>0</v>
      </c>
      <c r="N55" s="18">
        <v>0</v>
      </c>
      <c r="O5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55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55" s="1"/>
    </row>
    <row r="56" spans="1:17" ht="15">
      <c r="A56" s="16" t="s">
        <v>91</v>
      </c>
      <c r="B56" s="16"/>
      <c r="C56" s="16" t="s">
        <v>32</v>
      </c>
      <c r="D56" s="18">
        <v>358</v>
      </c>
      <c r="E56" s="35">
        <v>0.503</v>
      </c>
      <c r="F56" s="18">
        <v>0.94</v>
      </c>
      <c r="G56" s="35">
        <v>0.69699999999999995</v>
      </c>
      <c r="H56" s="44">
        <v>180</v>
      </c>
      <c r="I56" s="18">
        <v>178</v>
      </c>
      <c r="J56" s="18">
        <v>254</v>
      </c>
      <c r="K56" s="18">
        <v>270</v>
      </c>
      <c r="L56" s="18">
        <v>80</v>
      </c>
      <c r="M56" s="18">
        <v>2</v>
      </c>
      <c r="N56" s="18">
        <v>1</v>
      </c>
      <c r="O5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56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56" s="1"/>
    </row>
    <row r="57" spans="1:17" ht="15">
      <c r="A57" s="16" t="s">
        <v>92</v>
      </c>
      <c r="B57" s="16"/>
      <c r="C57" s="16" t="s">
        <v>30</v>
      </c>
      <c r="D57" s="18">
        <v>14</v>
      </c>
      <c r="E57" s="35">
        <v>0.64300000000000002</v>
      </c>
      <c r="F57" s="18">
        <v>1.25</v>
      </c>
      <c r="G57" s="35">
        <v>0.7</v>
      </c>
      <c r="H57" s="44">
        <v>9</v>
      </c>
      <c r="I57" s="18">
        <v>5</v>
      </c>
      <c r="J57" s="18">
        <v>10</v>
      </c>
      <c r="K57" s="18">
        <v>8</v>
      </c>
      <c r="L57" s="18">
        <v>1</v>
      </c>
      <c r="M57" s="18">
        <v>0</v>
      </c>
      <c r="N57" s="18">
        <v>0</v>
      </c>
      <c r="O5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57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57" s="1"/>
    </row>
    <row r="58" spans="1:17" ht="15">
      <c r="A58" s="16" t="s">
        <v>93</v>
      </c>
      <c r="B58" s="16"/>
      <c r="C58" s="16" t="s">
        <v>30</v>
      </c>
      <c r="D58" s="18">
        <v>3</v>
      </c>
      <c r="E58" s="35">
        <v>0.66700000000000004</v>
      </c>
      <c r="F58" s="18">
        <v>0.5</v>
      </c>
      <c r="G58" s="35">
        <v>0</v>
      </c>
      <c r="H58" s="44">
        <v>2</v>
      </c>
      <c r="I58" s="18">
        <v>1</v>
      </c>
      <c r="J58" s="18">
        <v>1</v>
      </c>
      <c r="K58" s="18">
        <v>2</v>
      </c>
      <c r="L58" s="18">
        <v>0</v>
      </c>
      <c r="M58" s="18">
        <v>0</v>
      </c>
      <c r="N58" s="18">
        <v>0</v>
      </c>
      <c r="O58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58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58" s="1"/>
    </row>
    <row r="59" spans="1:17" ht="15">
      <c r="A59" s="16" t="s">
        <v>94</v>
      </c>
      <c r="B59" s="16"/>
      <c r="C59" s="16" t="s">
        <v>30</v>
      </c>
      <c r="D59" s="18">
        <v>18</v>
      </c>
      <c r="E59" s="35">
        <v>0.33300000000000002</v>
      </c>
      <c r="F59" s="18">
        <v>0.87</v>
      </c>
      <c r="G59" s="35">
        <v>0.76900000000000002</v>
      </c>
      <c r="H59" s="44">
        <v>6</v>
      </c>
      <c r="I59" s="18">
        <v>12</v>
      </c>
      <c r="J59" s="18">
        <v>13</v>
      </c>
      <c r="K59" s="18">
        <v>15</v>
      </c>
      <c r="L59" s="18">
        <v>3</v>
      </c>
      <c r="M59" s="18">
        <v>0</v>
      </c>
      <c r="N59" s="18">
        <v>0</v>
      </c>
      <c r="O59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59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59" s="1"/>
    </row>
    <row r="60" spans="1:17" ht="15">
      <c r="A60" s="16" t="s">
        <v>95</v>
      </c>
      <c r="B60" s="16"/>
      <c r="C60" s="16" t="s">
        <v>34</v>
      </c>
      <c r="D60" s="18">
        <v>43</v>
      </c>
      <c r="E60" s="35">
        <v>0.30199999999999999</v>
      </c>
      <c r="F60" s="18">
        <v>0.39</v>
      </c>
      <c r="G60" s="35">
        <v>0.56200000000000006</v>
      </c>
      <c r="H60" s="44">
        <v>13</v>
      </c>
      <c r="I60" s="18">
        <v>30</v>
      </c>
      <c r="J60" s="18">
        <v>16</v>
      </c>
      <c r="K60" s="18">
        <v>41</v>
      </c>
      <c r="L60" s="18">
        <v>7</v>
      </c>
      <c r="M60" s="18">
        <v>0</v>
      </c>
      <c r="N60" s="18">
        <v>0</v>
      </c>
      <c r="O6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60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60" s="1"/>
    </row>
    <row r="61" spans="1:17" ht="15">
      <c r="A61" s="16" t="s">
        <v>96</v>
      </c>
      <c r="B61" s="16"/>
      <c r="C61" s="16" t="s">
        <v>34</v>
      </c>
      <c r="D61" s="18">
        <v>62</v>
      </c>
      <c r="E61" s="35">
        <v>0.59699999999999998</v>
      </c>
      <c r="F61" s="18">
        <v>0.6</v>
      </c>
      <c r="G61" s="35">
        <v>0.6</v>
      </c>
      <c r="H61" s="44">
        <v>37</v>
      </c>
      <c r="I61" s="18">
        <v>25</v>
      </c>
      <c r="J61" s="18">
        <v>30</v>
      </c>
      <c r="K61" s="18">
        <v>50</v>
      </c>
      <c r="L61" s="18">
        <v>10</v>
      </c>
      <c r="M61" s="18">
        <v>0</v>
      </c>
      <c r="N61" s="18">
        <v>0</v>
      </c>
      <c r="O6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61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1" s="1"/>
    </row>
    <row r="62" spans="1:17" ht="15">
      <c r="A62" s="16" t="s">
        <v>97</v>
      </c>
      <c r="B62" s="16"/>
      <c r="C62" s="16" t="s">
        <v>30</v>
      </c>
      <c r="D62" s="18">
        <v>113</v>
      </c>
      <c r="E62" s="35">
        <v>0.51300000000000001</v>
      </c>
      <c r="F62" s="18">
        <v>0.76</v>
      </c>
      <c r="G62" s="35">
        <v>0.68200000000000005</v>
      </c>
      <c r="H62" s="44">
        <v>58</v>
      </c>
      <c r="I62" s="18">
        <v>55</v>
      </c>
      <c r="J62" s="18">
        <v>66</v>
      </c>
      <c r="K62" s="18">
        <v>87</v>
      </c>
      <c r="L62" s="18">
        <v>18</v>
      </c>
      <c r="M62" s="18">
        <v>0</v>
      </c>
      <c r="N62" s="18">
        <v>0</v>
      </c>
      <c r="O6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62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2" s="1"/>
    </row>
    <row r="63" spans="1:17" ht="15">
      <c r="A63" s="16" t="s">
        <v>98</v>
      </c>
      <c r="B63" s="16"/>
      <c r="C63" s="16" t="s">
        <v>34</v>
      </c>
      <c r="D63" s="18">
        <v>14</v>
      </c>
      <c r="E63" s="35">
        <v>0.57099999999999995</v>
      </c>
      <c r="F63" s="18">
        <v>0.91</v>
      </c>
      <c r="G63" s="35">
        <v>0.6</v>
      </c>
      <c r="H63" s="44">
        <v>8</v>
      </c>
      <c r="I63" s="18">
        <v>6</v>
      </c>
      <c r="J63" s="18">
        <v>10</v>
      </c>
      <c r="K63" s="18">
        <v>11</v>
      </c>
      <c r="L63" s="18">
        <v>1</v>
      </c>
      <c r="M63" s="18">
        <v>0</v>
      </c>
      <c r="N63" s="18">
        <v>0</v>
      </c>
      <c r="O6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63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63" s="1"/>
    </row>
    <row r="64" spans="1:17" ht="15">
      <c r="A64" s="16" t="s">
        <v>99</v>
      </c>
      <c r="B64" s="16"/>
      <c r="C64" s="16" t="s">
        <v>30</v>
      </c>
      <c r="D64" s="18">
        <v>4</v>
      </c>
      <c r="E64" s="35">
        <v>0.5</v>
      </c>
      <c r="F64" s="18">
        <v>0.25</v>
      </c>
      <c r="G64" s="35">
        <v>1</v>
      </c>
      <c r="H64" s="44">
        <v>2</v>
      </c>
      <c r="I64" s="18">
        <v>2</v>
      </c>
      <c r="J64" s="18">
        <v>1</v>
      </c>
      <c r="K64" s="18">
        <v>4</v>
      </c>
      <c r="L64" s="18">
        <v>0</v>
      </c>
      <c r="M64" s="18">
        <v>0</v>
      </c>
      <c r="N64" s="18">
        <v>0</v>
      </c>
      <c r="O6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64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64" s="1"/>
    </row>
    <row r="65" spans="1:18" ht="15">
      <c r="A65" s="16" t="s">
        <v>100</v>
      </c>
      <c r="B65" s="16"/>
      <c r="C65" s="16" t="s">
        <v>77</v>
      </c>
      <c r="D65" s="18">
        <v>26</v>
      </c>
      <c r="E65" s="35">
        <v>0.42299999999999999</v>
      </c>
      <c r="F65" s="18">
        <v>0.56000000000000005</v>
      </c>
      <c r="G65" s="35">
        <v>0.35699999999999998</v>
      </c>
      <c r="H65" s="44">
        <v>11</v>
      </c>
      <c r="I65" s="18">
        <v>15</v>
      </c>
      <c r="J65" s="18">
        <v>14</v>
      </c>
      <c r="K65" s="18">
        <v>25</v>
      </c>
      <c r="L65" s="18">
        <v>9</v>
      </c>
      <c r="M65" s="18">
        <v>0</v>
      </c>
      <c r="N65" s="18">
        <v>0</v>
      </c>
      <c r="O6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65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65" s="1"/>
    </row>
    <row r="66" spans="1:18" ht="15">
      <c r="A66" s="16" t="s">
        <v>101</v>
      </c>
      <c r="B66" s="16"/>
      <c r="C66" s="16" t="s">
        <v>30</v>
      </c>
      <c r="D66" s="18">
        <v>147</v>
      </c>
      <c r="E66" s="35">
        <v>0.46300000000000002</v>
      </c>
      <c r="F66" s="18">
        <v>0.86</v>
      </c>
      <c r="G66" s="35">
        <v>0.58799999999999997</v>
      </c>
      <c r="H66" s="44">
        <v>68</v>
      </c>
      <c r="I66" s="18">
        <v>79</v>
      </c>
      <c r="J66" s="18">
        <v>97</v>
      </c>
      <c r="K66" s="18">
        <v>113</v>
      </c>
      <c r="L66" s="18">
        <v>20</v>
      </c>
      <c r="M66" s="18">
        <v>0</v>
      </c>
      <c r="N66" s="18">
        <v>0</v>
      </c>
      <c r="O6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66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6" s="1"/>
    </row>
    <row r="67" spans="1:18" ht="15">
      <c r="A67" s="16" t="s">
        <v>102</v>
      </c>
      <c r="B67" s="16"/>
      <c r="C67" s="16" t="s">
        <v>30</v>
      </c>
      <c r="D67" s="18">
        <v>236</v>
      </c>
      <c r="E67" s="35">
        <v>0.52100000000000002</v>
      </c>
      <c r="F67" s="18">
        <v>0.76</v>
      </c>
      <c r="G67" s="35">
        <v>0.56899999999999995</v>
      </c>
      <c r="H67" s="44">
        <v>123</v>
      </c>
      <c r="I67" s="18">
        <v>113</v>
      </c>
      <c r="J67" s="18">
        <v>137</v>
      </c>
      <c r="K67" s="18">
        <v>181</v>
      </c>
      <c r="L67" s="18">
        <v>32</v>
      </c>
      <c r="M67" s="18">
        <v>1</v>
      </c>
      <c r="N67" s="18">
        <v>2</v>
      </c>
      <c r="O6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67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7" s="1"/>
    </row>
    <row r="68" spans="1:18" ht="15">
      <c r="A68" s="32" t="s">
        <v>103</v>
      </c>
      <c r="B68" s="32"/>
      <c r="C68" s="32" t="s">
        <v>32</v>
      </c>
      <c r="D68" s="18">
        <v>187</v>
      </c>
      <c r="E68" s="35">
        <v>0.59899999999999998</v>
      </c>
      <c r="F68" s="18">
        <v>1.1399999999999999</v>
      </c>
      <c r="G68" s="35">
        <v>0.51200000000000001</v>
      </c>
      <c r="H68" s="44">
        <v>112</v>
      </c>
      <c r="I68" s="18">
        <v>75</v>
      </c>
      <c r="J68" s="18">
        <v>162</v>
      </c>
      <c r="K68" s="18">
        <v>142</v>
      </c>
      <c r="L68" s="18">
        <v>76</v>
      </c>
      <c r="M68" s="18">
        <v>0</v>
      </c>
      <c r="N68" s="18">
        <v>2</v>
      </c>
      <c r="O68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68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8" s="1"/>
    </row>
    <row r="69" spans="1:18" ht="15">
      <c r="A69" s="16" t="s">
        <v>104</v>
      </c>
      <c r="B69" s="16"/>
      <c r="C69" s="16" t="s">
        <v>34</v>
      </c>
      <c r="D69" s="18">
        <v>139</v>
      </c>
      <c r="E69" s="35">
        <v>0.496</v>
      </c>
      <c r="F69" s="18">
        <v>0.73</v>
      </c>
      <c r="G69" s="35">
        <v>0.56000000000000005</v>
      </c>
      <c r="H69" s="44">
        <v>69</v>
      </c>
      <c r="I69" s="18">
        <v>70</v>
      </c>
      <c r="J69" s="18">
        <v>75</v>
      </c>
      <c r="K69" s="18">
        <v>103</v>
      </c>
      <c r="L69" s="18">
        <v>33</v>
      </c>
      <c r="M69" s="18">
        <v>0</v>
      </c>
      <c r="N69" s="18">
        <v>0</v>
      </c>
      <c r="O69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69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69" s="1"/>
    </row>
    <row r="70" spans="1:18" ht="15">
      <c r="A70" s="16" t="s">
        <v>105</v>
      </c>
      <c r="B70" s="16"/>
      <c r="C70" s="16" t="s">
        <v>32</v>
      </c>
      <c r="D70" s="18">
        <v>80</v>
      </c>
      <c r="E70" s="35">
        <v>0.47499999999999998</v>
      </c>
      <c r="F70" s="18">
        <v>0.87</v>
      </c>
      <c r="G70" s="35">
        <v>0.45300000000000001</v>
      </c>
      <c r="H70" s="44">
        <v>38</v>
      </c>
      <c r="I70" s="18">
        <v>42</v>
      </c>
      <c r="J70" s="18">
        <v>53</v>
      </c>
      <c r="K70" s="18">
        <v>61</v>
      </c>
      <c r="L70" s="18">
        <v>16</v>
      </c>
      <c r="M70" s="18">
        <v>0</v>
      </c>
      <c r="N70" s="18">
        <v>1</v>
      </c>
      <c r="O70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70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0" s="1"/>
    </row>
    <row r="71" spans="1:18" ht="15">
      <c r="A71" s="16" t="s">
        <v>106</v>
      </c>
      <c r="B71" s="16"/>
      <c r="C71" s="16" t="s">
        <v>30</v>
      </c>
      <c r="D71" s="18">
        <v>368</v>
      </c>
      <c r="E71" s="35">
        <v>0.47799999999999998</v>
      </c>
      <c r="F71" s="18">
        <v>0.61</v>
      </c>
      <c r="G71" s="35">
        <v>0.60899999999999999</v>
      </c>
      <c r="H71" s="44">
        <v>176</v>
      </c>
      <c r="I71" s="18">
        <v>192</v>
      </c>
      <c r="J71" s="18">
        <v>151</v>
      </c>
      <c r="K71" s="18">
        <v>249</v>
      </c>
      <c r="L71" s="18">
        <v>45</v>
      </c>
      <c r="M71" s="18">
        <v>0</v>
      </c>
      <c r="N71" s="18">
        <v>2</v>
      </c>
      <c r="O71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71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1" s="1"/>
    </row>
    <row r="72" spans="1:18" ht="15">
      <c r="A72" s="16" t="s">
        <v>107</v>
      </c>
      <c r="B72" s="16"/>
      <c r="C72" s="16" t="s">
        <v>32</v>
      </c>
      <c r="D72" s="18">
        <v>314</v>
      </c>
      <c r="E72" s="35">
        <v>0.51600000000000001</v>
      </c>
      <c r="F72" s="18">
        <v>0.83</v>
      </c>
      <c r="G72" s="35">
        <v>0.625</v>
      </c>
      <c r="H72" s="44">
        <v>162</v>
      </c>
      <c r="I72" s="18">
        <v>152</v>
      </c>
      <c r="J72" s="18">
        <v>208</v>
      </c>
      <c r="K72" s="18">
        <v>250</v>
      </c>
      <c r="L72" s="18">
        <v>75</v>
      </c>
      <c r="M72" s="18">
        <v>0</v>
      </c>
      <c r="N72" s="18">
        <v>1</v>
      </c>
      <c r="O72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72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2" s="1"/>
    </row>
    <row r="73" spans="1:18" ht="15">
      <c r="A73" s="16" t="s">
        <v>108</v>
      </c>
      <c r="B73" s="16"/>
      <c r="C73" s="16" t="s">
        <v>32</v>
      </c>
      <c r="D73" s="18">
        <v>68</v>
      </c>
      <c r="E73" s="35">
        <v>0.57399999999999995</v>
      </c>
      <c r="F73" s="18">
        <v>0.86</v>
      </c>
      <c r="G73" s="35">
        <v>0.40799999999999997</v>
      </c>
      <c r="H73" s="44">
        <v>39</v>
      </c>
      <c r="I73" s="18">
        <v>29</v>
      </c>
      <c r="J73" s="18">
        <v>49</v>
      </c>
      <c r="K73" s="18">
        <v>57</v>
      </c>
      <c r="L73" s="18">
        <v>16</v>
      </c>
      <c r="M73" s="18">
        <v>1</v>
      </c>
      <c r="N73" s="18">
        <v>0</v>
      </c>
      <c r="O73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73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3" s="1"/>
    </row>
    <row r="74" spans="1:18" ht="15">
      <c r="A74" s="16" t="s">
        <v>109</v>
      </c>
      <c r="B74" s="16"/>
      <c r="C74" s="16" t="s">
        <v>32</v>
      </c>
      <c r="D74" s="18">
        <v>37</v>
      </c>
      <c r="E74" s="35">
        <v>0.48599999999999999</v>
      </c>
      <c r="F74" s="18">
        <v>0.89</v>
      </c>
      <c r="G74" s="35">
        <v>0.58299999999999996</v>
      </c>
      <c r="H74" s="44">
        <v>18</v>
      </c>
      <c r="I74" s="18">
        <v>19</v>
      </c>
      <c r="J74" s="18">
        <v>24</v>
      </c>
      <c r="K74" s="18">
        <v>27</v>
      </c>
      <c r="L74" s="18">
        <v>5</v>
      </c>
      <c r="M74" s="18">
        <v>1</v>
      </c>
      <c r="N74" s="18">
        <v>0</v>
      </c>
      <c r="O74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74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74" s="1"/>
    </row>
    <row r="75" spans="1:18" ht="15">
      <c r="A75" s="16" t="s">
        <v>110</v>
      </c>
      <c r="B75" s="16"/>
      <c r="C75" s="16" t="s">
        <v>34</v>
      </c>
      <c r="D75" s="18">
        <v>16</v>
      </c>
      <c r="E75" s="35">
        <v>0.625</v>
      </c>
      <c r="F75" s="18">
        <v>1</v>
      </c>
      <c r="G75" s="35">
        <v>0.45500000000000002</v>
      </c>
      <c r="H75" s="44">
        <v>10</v>
      </c>
      <c r="I75" s="18">
        <v>6</v>
      </c>
      <c r="J75" s="18">
        <v>11</v>
      </c>
      <c r="K75" s="18">
        <v>11</v>
      </c>
      <c r="L75" s="18">
        <v>10</v>
      </c>
      <c r="M75" s="18">
        <v>0</v>
      </c>
      <c r="N75" s="18">
        <v>0</v>
      </c>
      <c r="O75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In Progress</v>
      </c>
      <c r="P75" s="13" t="str">
        <f>IF(Table4[[#This Row],[Rounds Played]]&lt;50, "In Progress",
 IF(OR(AND(Table4[[#This Row],[HS%]]&lt;0.35, Table4[[#This Row],[K/D]]&lt;0.7), Table4[[#This Row],[Win %]]&lt;0.45), "Needs Work", "Good"))</f>
        <v>In Progress</v>
      </c>
      <c r="Q75" s="1"/>
    </row>
    <row r="76" spans="1:18" ht="15">
      <c r="A76" s="16" t="s">
        <v>111</v>
      </c>
      <c r="B76" s="16"/>
      <c r="C76" s="16" t="s">
        <v>77</v>
      </c>
      <c r="D76" s="18">
        <v>71</v>
      </c>
      <c r="E76" s="35">
        <v>0.47899999999999998</v>
      </c>
      <c r="F76" s="18">
        <v>0.6</v>
      </c>
      <c r="G76" s="35">
        <v>0.432</v>
      </c>
      <c r="H76" s="44">
        <v>34</v>
      </c>
      <c r="I76" s="18">
        <v>37</v>
      </c>
      <c r="J76" s="18">
        <v>37</v>
      </c>
      <c r="K76" s="18">
        <v>62</v>
      </c>
      <c r="L76" s="18">
        <v>14</v>
      </c>
      <c r="M76" s="18">
        <v>0</v>
      </c>
      <c r="N76" s="18">
        <v>1</v>
      </c>
      <c r="O76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76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6" s="1"/>
    </row>
    <row r="77" spans="1:18" ht="15">
      <c r="A77" s="16" t="s">
        <v>112</v>
      </c>
      <c r="B77" s="16"/>
      <c r="C77" s="16" t="s">
        <v>30</v>
      </c>
      <c r="D77" s="18">
        <v>107</v>
      </c>
      <c r="E77" s="35">
        <v>0.44900000000000001</v>
      </c>
      <c r="F77" s="18">
        <v>0.68</v>
      </c>
      <c r="G77" s="35">
        <v>0.53400000000000003</v>
      </c>
      <c r="H77" s="44">
        <v>48</v>
      </c>
      <c r="I77" s="18">
        <v>59</v>
      </c>
      <c r="J77" s="18">
        <v>58</v>
      </c>
      <c r="K77" s="18">
        <v>85</v>
      </c>
      <c r="L77" s="18">
        <v>22</v>
      </c>
      <c r="M77" s="18">
        <v>0</v>
      </c>
      <c r="N77" s="18">
        <v>0</v>
      </c>
      <c r="O77" s="20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Needs Work</v>
      </c>
      <c r="P77" s="13" t="str">
        <f>IF(Table4[[#This Row],[Rounds Played]]&lt;50, "In Progress",
 IF(OR(AND(Table4[[#This Row],[HS%]]&lt;0.35, Table4[[#This Row],[K/D]]&lt;0.7), Table4[[#This Row],[Win %]]&lt;0.45), "Needs Work", "Good"))</f>
        <v>Needs Work</v>
      </c>
      <c r="Q77" s="1"/>
    </row>
    <row r="78" spans="1:18" ht="15">
      <c r="A78" s="17" t="s">
        <v>113</v>
      </c>
      <c r="B78" s="17"/>
      <c r="C78" s="17" t="s">
        <v>30</v>
      </c>
      <c r="D78" s="19">
        <v>629</v>
      </c>
      <c r="E78" s="36">
        <v>0.45600000000000002</v>
      </c>
      <c r="F78" s="19">
        <v>0.86</v>
      </c>
      <c r="G78" s="36">
        <v>0.6</v>
      </c>
      <c r="H78" s="22">
        <v>287</v>
      </c>
      <c r="I78" s="19">
        <v>342</v>
      </c>
      <c r="J78" s="19">
        <v>442</v>
      </c>
      <c r="K78" s="19">
        <v>516</v>
      </c>
      <c r="L78" s="19">
        <v>138</v>
      </c>
      <c r="M78" s="19">
        <v>3</v>
      </c>
      <c r="N78" s="19">
        <v>3</v>
      </c>
      <c r="O78" s="21" t="str">
        <f>IF(Table4[[#This Row],[Rounds Played]]&lt;50, "In Progress",
  IF(Table4[[#This Row],[Loadout]]="SG", IF(Table4[[#This Row],[K/D]]&gt;=0.7, "Good", "Needs Work"),
  IF(Table4[[#This Row],[Loadout]]="Hybrid", IF(AND(Table4[[#This Row],[HS%]]&gt;=0.25, Table4[[#This Row],[K/D]]&gt;=0.7), "Good", "Needs Work"),
  IF(Table4[[#This Row],[Loadout]]="AR", IF(AND(Table4[[#This Row],[HS%]]&gt;=0.35, Table4[[#This Row],[K/D]]&gt;=0.7), "Good", "Needs Work"),
  IF(Table4[[#This Row],[Loadout]]="SMG", IF(AND(Table4[[#This Row],[HS%]]&gt;=0.3, Table4[[#This Row],[K/D]]&gt;=0.7), "Good", "Needs Work"),
  IF(Table4[[#This Row],[Loadout]]="LMG", IF(AND(Table4[[#This Row],[HS%]]&gt;=0.25, Table4[[#This Row],[K/D]]&gt;=0.75), "Good", "Needs Work"),
  IF(Table4[[#This Row],[Loadout]]="MP", IF(AND(Table4[[#This Row],[HS%]]&gt;=0.2, Table4[[#This Row],[K/D]]&gt;=0.6), "Good", "Needs Work"),
  IF(Table4[[#This Row],[Loadout]]="Pistol", IF(Table4[[#This Row],[K/D]]&gt;=0.6, "Good", "Needs Work"),
  IF(Table4[[#This Row],[Loadout]]="DMR", IF(AND(Table4[[#This Row],[HS%]]&gt;=0.2, Table4[[#This Row],[K/D]]&gt;=0.7), "Good", "Needs Work"),
  "Check Loadout Name")))))))))</f>
        <v>Good</v>
      </c>
      <c r="P78" s="13" t="str">
        <f>IF(Table4[[#This Row],[Rounds Played]]&lt;50, "In Progress",
 IF(OR(AND(Table4[[#This Row],[HS%]]&lt;0.35, Table4[[#This Row],[K/D]]&lt;0.7), Table4[[#This Row],[Win %]]&lt;0.45), "Needs Work", "Good"))</f>
        <v>Good</v>
      </c>
      <c r="Q78" s="1"/>
    </row>
    <row r="79" spans="1:18" ht="19.5" customHeight="1">
      <c r="A79" s="12"/>
      <c r="B79" s="12"/>
      <c r="C79" s="12"/>
      <c r="D79" s="13"/>
      <c r="E79" s="38">
        <f>AVERAGE(E2:E78)</f>
        <v>0.50158441558441558</v>
      </c>
      <c r="F79" s="37">
        <f>AVERAGE(Table4[K/D]) / 0.75</f>
        <v>1.0076190476190474</v>
      </c>
      <c r="G79" s="38">
        <f>AVERAGE(G2:G78)</f>
        <v>0.55633766233766258</v>
      </c>
      <c r="H79" s="33">
        <f>SUM(Table4[Wins]) / (SUM(Table4[Wins]) + SUM(Table4[Losses]))</f>
        <v>0.4944359589788348</v>
      </c>
      <c r="I79" s="33">
        <f>SUM(Table4[Losses]) / (SUM(Table4[Wins]) + SUM(Table4[Losses]))</f>
        <v>0.50556404102116514</v>
      </c>
      <c r="J79" s="13">
        <f>SUM(J2:J78) / (SUM(K2:K78) * 0.75)</f>
        <v>1.0481312922355537</v>
      </c>
      <c r="K79" s="13"/>
      <c r="L79" s="13"/>
      <c r="M79" s="13"/>
      <c r="N79" s="13"/>
      <c r="O79" s="14"/>
      <c r="P79" s="13"/>
      <c r="Q79" s="1"/>
    </row>
    <row r="80" spans="1:18" ht="15" hidden="1">
      <c r="A80" s="17"/>
      <c r="B80" s="17"/>
      <c r="C80" s="17"/>
      <c r="D80" s="19"/>
      <c r="E80" s="19"/>
      <c r="F80" s="19"/>
      <c r="G80" s="19"/>
      <c r="H80" s="19"/>
      <c r="I80" s="23"/>
      <c r="J80" s="22"/>
      <c r="K80" s="19"/>
      <c r="L80" s="19"/>
      <c r="M80" s="19"/>
      <c r="N80" s="19"/>
      <c r="O80" s="19"/>
      <c r="P80" s="21"/>
      <c r="Q80" s="1"/>
      <c r="R80" s="1"/>
    </row>
    <row r="81" spans="1:18" ht="15" hidden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1"/>
      <c r="Q81" s="1"/>
      <c r="R81" s="1"/>
    </row>
    <row r="82" spans="1:18" ht="15" hidden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1"/>
      <c r="Q82" s="1"/>
      <c r="R82" s="1"/>
    </row>
    <row r="83" spans="1:18" ht="15" hidden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1"/>
      <c r="Q83" s="1"/>
      <c r="R83" s="1"/>
    </row>
    <row r="84" spans="1:18" ht="15" hidden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1"/>
      <c r="Q84" s="1"/>
      <c r="R84" s="1"/>
    </row>
    <row r="85" spans="1:18" ht="15" hidden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1"/>
      <c r="Q85" s="1"/>
      <c r="R85" s="1"/>
    </row>
    <row r="86" spans="1:18" ht="15" hidden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1"/>
      <c r="Q86" s="1"/>
      <c r="R86" s="1"/>
    </row>
    <row r="87" spans="1:18" ht="15" hidden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1"/>
      <c r="Q87" s="1"/>
      <c r="R87" s="1"/>
    </row>
    <row r="88" spans="1:18" ht="15" hidden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1"/>
      <c r="Q88" s="1"/>
      <c r="R88" s="1"/>
    </row>
    <row r="89" spans="1:18" ht="15" hidden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1"/>
      <c r="Q89" s="1"/>
      <c r="R89" s="1"/>
    </row>
    <row r="90" spans="1:18" ht="15" hidden="1">
      <c r="A90" s="3"/>
      <c r="B90" s="3"/>
      <c r="C90" s="3"/>
      <c r="D90" s="3"/>
      <c r="E90" s="3"/>
      <c r="F90" s="3"/>
      <c r="G90" s="3"/>
      <c r="H90" s="3"/>
      <c r="I90" s="4"/>
      <c r="J90" s="3"/>
      <c r="K90" s="3"/>
      <c r="L90" s="3"/>
      <c r="M90" s="3"/>
      <c r="N90" s="3"/>
      <c r="O90" s="3"/>
      <c r="P90" s="1"/>
      <c r="Q90" s="1"/>
    </row>
    <row r="91" spans="1:18" ht="15" hidden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8" ht="15" hidden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8" ht="15" hidden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8" ht="15" hidden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8" ht="15" hidden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8" ht="15" hidden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5" hidden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5" hidden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5" hidden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5" hidden="1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  <c r="O100" s="4"/>
    </row>
  </sheetData>
  <conditionalFormatting sqref="H2 I80:I280 I3:P3 A80:H281 R80:R280 Q2:Q79 A3:G3 J80:Q281 A4:P20 A21:J21 L21:P21 A22:P79">
    <cfRule type="expression" dxfId="36" priority="1">
      <formula>MOD(ROW(), 2) = 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2026-04-27T15:07:37Z</dcterms:created>
  <dcterms:modified xsi:type="dcterms:W3CDTF">2026-04-30T00:45:24Z</dcterms:modified>
  <cp:category/>
  <cp:contentStatus/>
</cp:coreProperties>
</file>